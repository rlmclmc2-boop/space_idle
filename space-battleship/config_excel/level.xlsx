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390b3b662148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vel" sheetId="2" r:id="R8f30f7c9b4e34e99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<x:sst xmlns:x="http://schemas.openxmlformats.org/spreadsheetml/2006/main">
  <x:si>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</x:si>
  <x:si>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length</x:t>
  </x:si>
  <x:si>
    <x:t xml:space="preserve">monGroup</x:t>
  </x:si>
  <x:si>
    <x:t xml:space="preserve">atkRatio</x:t>
  </x:si>
  <x:si>
    <x:t xml:space="preserve">lifeRatio</x:t>
  </x:si>
  <x:si>
    <x:t xml:space="preserve">resRatio</x:t>
  </x:si>
  <x:si>
    <x:t xml:space="preserve">jewelRatio</x:t>
  </x:si>
  <x:si>
    <x:t xml:space="preserve">关卡的id</x:t>
  </x:si>
  <x:si>
    <x:t xml:space="preserve">关卡长度</x:t>
  </x:si>
  <x:si>
    <x:t xml:space="preserve">怪物群id</x:t>
  </x:si>
  <x:si>
    <x:t xml:space="preserve">攻击倍率</x:t>
  </x:si>
  <x:si>
    <x:t xml:space="preserve">生命倍率</x:t>
  </x:si>
  <x:si>
    <x:t xml:space="preserve">资源倍率</x:t>
  </x:si>
  <x:si>
    <x:t xml:space="preserve">宝石倍率</x:t>
  </x:si>
  <x:si>
    <x:t xml:space="preserve">如上</x:t>
  </x:si>
  <x:si>
    <x:t xml:space="preserve">格式为{id|比例，id|比例....}，id为monGroup表的id，比例表示在关卡长度的%多少处出现</x:t>
  </x:si>
  <x:si>
    <x:t xml:space="preserve">敌方飞行器的器伤害*这个值（向上取整，没有小数）</x:t>
  </x:si>
  <x:si>
    <x:t xml:space="preserve">敌方飞行器的生命*这个值（向上取整，没有小数）</x:t>
  </x:si>
  <x:si>
    <x:t xml:space="preserve">敌方飞行器摧毁时获得的资源乘该值</x:t>
  </x:si>
  <x:si>
    <x:t xml:space="preserve">{2|0.1,2|0.2,2|0.3,2|0.4,6|0.5,2|0.6,2|0.7,2|0.8,9|0.9}</x:t>
  </x:si>
  <x:si>
    <x:t xml:space="preserve">{1|0.1,4|0.2,1|0.3,4|0.4,7|0.5,4|0.6,1|0.7,4|0.8,10|0.9}</x:t>
  </x:si>
  <x:si>
    <x:t xml:space="preserve">{1|0.1,2|0.2,3|0.3,1|0.4,7|0.5,3|0.6,1|0.7,2|0.8,10|0.9}</x:t>
  </x:si>
  <x:si>
    <x:t xml:space="preserve">{4|0.1,5|0.2,4|0.3,5|0.4,6|0.5,5|0.6,4|0.7,5|0.8,9|0.9}</x:t>
  </x:si>
  <x:si>
    <x:t xml:space="preserve">{1|0.1,2|0.2,4|0.3,5|0.4,8|0.5,11|0.6,12|0.7,3|0.8,8|0.9}</x:t>
  </x:si>
  <x:si>
    <x:t xml:space="preserve">{2|0.1,2|0.2,5|0.3,2|0.4,9|0.5,2|0.6,5|0.7,2|0.8,13|0.9}</x:t>
  </x:si>
  <x:si>
    <x:t xml:space="preserve">{1|0.1,1|0.2,4|0.3,1|0.4,10|0.5,1|0.6,4|0.7,1|0.8,14|0.9}</x:t>
  </x:si>
  <x:si>
    <x:t xml:space="preserve">{5|0.1,5|0.2,12|0.3,5|0.4,9|0.5,5|0.6,12|0.7,5|0.8,13|0.9}</x:t>
  </x:si>
  <x:si>
    <x:t xml:space="preserve">{4|0.1,4|0.2,11|0.3,4|0.4,10|0.5,4|0.6,11|0.7,4|0.8,14|0.9}</x:t>
  </x:si>
  <x:si>
    <x:t xml:space="preserve">{3|0.1,3|0.2,6|0.3,7|0.4,8|0.5,13|0.6,14|0.7,8|0.8,15|0.9}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</x:si>
</x:sst>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0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3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2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3" borderId="4">
      <x:alignment vertical="center"/>
    </x:xf>
    <x:xf numFmtId="0" fontId="10" fillId="4" borderId="5">
      <x:alignment vertical="center"/>
    </x:xf>
    <x:xf numFmtId="0" fontId="11" fillId="4" borderId="4">
      <x:alignment vertical="center"/>
    </x:xf>
    <x:xf numFmtId="0" fontId="12" fillId="5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6" borderId="0">
      <x:alignment vertical="center"/>
    </x:xf>
    <x:xf numFmtId="0" fontId="16" fillId="7" borderId="0">
      <x:alignment vertical="center"/>
    </x:xf>
    <x:xf numFmtId="0" fontId="17" fillId="8" borderId="0">
      <x:alignment vertical="center"/>
    </x:xf>
    <x:xf numFmtId="0" fontId="18" fillId="9" borderId="0">
      <x:alignment vertical="center"/>
    </x:xf>
    <x:xf numFmtId="0" fontId="19" fillId="10" borderId="0">
      <x:alignment vertical="center"/>
    </x:xf>
    <x:xf numFmtId="0" fontId="19" fillId="11" borderId="0">
      <x:alignment vertical="center"/>
    </x:xf>
    <x:xf numFmtId="0" fontId="18" fillId="12" borderId="0">
      <x:alignment vertical="center"/>
    </x:xf>
    <x:xf numFmtId="0" fontId="18" fillId="13" borderId="0">
      <x:alignment vertical="center"/>
    </x:xf>
    <x:xf numFmtId="0" fontId="19" fillId="14" borderId="0">
      <x:alignment vertical="center"/>
    </x:xf>
    <x:xf numFmtId="0" fontId="19" fillId="15" borderId="0">
      <x:alignment vertical="center"/>
    </x:xf>
    <x:xf numFmtId="0" fontId="18" fillId="16" borderId="0">
      <x:alignment vertical="center"/>
    </x:xf>
    <x:xf numFmtId="0" fontId="18" fillId="17" borderId="0">
      <x:alignment vertical="center"/>
    </x:xf>
    <x:xf numFmtId="0" fontId="19" fillId="18" borderId="0">
      <x:alignment vertical="center"/>
    </x:xf>
    <x:xf numFmtId="0" fontId="19" fillId="19" borderId="0">
      <x:alignment vertical="center"/>
    </x:xf>
    <x:xf numFmtId="0" fontId="18" fillId="20" borderId="0">
      <x:alignment vertical="center"/>
    </x:xf>
    <x:xf numFmtId="0" fontId="18" fillId="21" borderId="0">
      <x:alignment vertical="center"/>
    </x:xf>
    <x:xf numFmtId="0" fontId="19" fillId="22" borderId="0">
      <x:alignment vertical="center"/>
    </x:xf>
    <x:xf numFmtId="0" fontId="19" fillId="23" borderId="0">
      <x:alignment vertical="center"/>
    </x:xf>
    <x:xf numFmtId="0" fontId="18" fillId="24" borderId="0">
      <x:alignment vertical="center"/>
    </x:xf>
    <x:xf numFmtId="0" fontId="18" fillId="25" borderId="0">
      <x:alignment vertical="center"/>
    </x:xf>
    <x:xf numFmtId="0" fontId="19" fillId="26" borderId="0">
      <x:alignment vertical="center"/>
    </x:xf>
    <x:xf numFmtId="0" fontId="19" fillId="27" borderId="0">
      <x:alignment vertical="center"/>
    </x:xf>
    <x:xf numFmtId="0" fontId="18" fillId="28" borderId="0">
      <x:alignment vertical="center"/>
    </x:xf>
    <x:xf numFmtId="0" fontId="18" fillId="29" borderId="0">
      <x:alignment vertical="center"/>
    </x:xf>
    <x:xf numFmtId="0" fontId="19" fillId="30" borderId="0">
      <x:alignment vertical="center"/>
    </x:xf>
    <x:xf numFmtId="0" fontId="19" fillId="31" borderId="0">
      <x:alignment vertical="center"/>
    </x:xf>
    <x:xf numFmtId="0" fontId="18" fillId="32" borderId="0">
      <x:alignment vertical="center"/>
    </x:xf>
  </x:cellStyleXfs>
  <x:cellXfs count="2">
    <x:xf numFmtId="0" fontId="0" fillId="0" borderId="0" xfId="0" applyAlignment="1">
      <x:alignment vertical="center"/>
    </x:xf>
    <x:xf numFmtId="0" fontId="0" fillId="0" borderId="0" xfId="0">
      <x:alignment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201d24203d46b6" /><Relationship Type="http://schemas.openxmlformats.org/officeDocument/2006/relationships/theme" Target="/xl/theme/theme1.xml" Id="Rc38b3d7cc8dc4316" /><Relationship Type="http://schemas.openxmlformats.org/officeDocument/2006/relationships/sharedStrings" Target="/xl/sharedStrings.xml" Id="Rb5c8ea63a8c64226" /><Relationship Type="http://schemas.openxmlformats.org/officeDocument/2006/relationships/worksheet" Target="/xl/worksheets/sheet1.xml" Id="R8f30f7c9b4e34e99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3.5"/>
  <x:cols>
    <x:col min="3" max="3" width="78.2249984741211" customWidth="1"/>
    <x:col min="4" max="4" width="12.625" customWidth="0"/>
    <x:col min="6" max="6" width="12.625" customWidth="0"/>
  </x:cols>
  <x:sheetData>
    <x:row r="1">
      <x:c r="A1" t="s">
        <x:v>0</x:v>
      </x:c>
      <x:c r="B1" t="s">
        <x:v>1</x:v>
      </x:c>
      <x:c r="C1" s="1" t="s">
        <x:v>2</x:v>
      </x:c>
      <x:c r="D1" t="s">
        <x:v>3</x:v>
      </x:c>
      <x:c r="E1" t="s">
        <x:v>4</x:v>
      </x:c>
      <x:c r="F1" t="s">
        <x:v>5</x:v>
      </x:c>
      <x:c r="G1" t="s">
        <x:v>6</x:v>
      </x:c>
      <x:c r="H1" t="str">
        <x:v>planetExpRatio</x:v>
      </x:c>
    </x:row>
    <x:row r="2">
      <x:c r="A2" t="s">
        <x:v>7</x:v>
      </x:c>
      <x:c r="B2" t="s">
        <x:v>8</x:v>
      </x:c>
      <x:c r="C2" t="s">
        <x:v>9</x:v>
      </x:c>
      <x:c r="D2" t="s">
        <x:v>10</x:v>
      </x:c>
      <x:c r="E2" t="s">
        <x:v>11</x:v>
      </x:c>
      <x:c r="F2" t="s">
        <x:v>12</x:v>
      </x:c>
      <x:c r="G2" t="s">
        <x:v>13</x:v>
      </x:c>
      <x:c r="H2" t="str">
        <x:v>星球探索经验系数</x:v>
      </x:c>
    </x:row>
    <x:row r="3">
      <x:c r="A3" t="s">
        <x:v>14</x:v>
      </x:c>
      <x:c r="B3" t="s">
        <x:v>14</x:v>
      </x:c>
      <x:c r="C3" t="s">
        <x:v>15</x:v>
      </x:c>
      <x:c r="D3" t="s">
        <x:v>16</x:v>
      </x:c>
      <x:c r="E3" t="s">
        <x:v>17</x:v>
      </x:c>
      <x:c r="F3" t="s">
        <x:v>18</x:v>
      </x:c>
      <x:c r="H3" t="str">
        <x:v>30关为1，之前为0，之后每关增长20%并保留两位小数</x:v>
      </x:c>
    </x:row>
    <x:row r="4">
      <x:c r="A4">
        <x:v>1</x:v>
      </x:c>
      <x:c r="B4">
        <x:v>1000</x:v>
      </x:c>
      <x:c r="C4" t="s">
        <x:v>19</x:v>
      </x:c>
      <x:c r="D4">
        <x:v>1</x:v>
      </x:c>
      <x:c r="E4" t="n">
        <x:f t="shared" ref="E4:E67" si="0">D4</x:f>
        <x:v>1</x:v>
      </x:c>
      <x:c r="F4" t="n">
        <x:f>E4</x:f>
        <x:v>1</x:v>
      </x:c>
      <x:c r="G4">
        <x:v>1</x:v>
      </x:c>
      <x:c r="H4" t="n">
        <x:v>0</x:v>
      </x:c>
    </x:row>
    <x:row r="5">
      <x:c r="A5">
        <x:v>2</x:v>
      </x:c>
      <x:c r="B5">
        <x:v>1000</x:v>
      </x:c>
      <x:c r="C5" t="s">
        <x:v>20</x:v>
      </x:c>
      <x:c r="D5" t="n">
        <x:f>ROUND(D4*1.5,2)</x:f>
        <x:v>1.5</x:v>
      </x:c>
      <x:c r="E5">
        <x:f t="shared" si="0"/>
        <x:v>1.5</x:v>
      </x:c>
      <x:c r="F5" t="n">
        <x:f>ROUND(F4*1.4,2)</x:f>
        <x:v>1.4</x:v>
      </x:c>
      <x:c r="G5">
        <x:v>1.2</x:v>
      </x:c>
      <x:c r="H5" t="n">
        <x:v>0</x:v>
      </x:c>
    </x:row>
    <x:row r="6">
      <x:c r="A6">
        <x:v>3</x:v>
      </x:c>
      <x:c r="B6">
        <x:v>1000</x:v>
      </x:c>
      <x:c r="C6" t="s">
        <x:v>21</x:v>
      </x:c>
      <x:c r="D6">
        <x:v>2.25</x:v>
      </x:c>
      <x:c r="E6">
        <x:v>2.25</x:v>
      </x:c>
      <x:c r="F6">
        <x:v>1.96</x:v>
      </x:c>
      <x:c r="G6">
        <x:v>1.4</x:v>
      </x:c>
      <x:c r="H6" t="n">
        <x:v>0</x:v>
      </x:c>
    </x:row>
    <x:row r="7">
      <x:c r="A7">
        <x:v>4</x:v>
      </x:c>
      <x:c r="B7">
        <x:v>1000</x:v>
      </x:c>
      <x:c r="C7" t="s">
        <x:v>22</x:v>
      </x:c>
      <x:c r="D7" t="n">
        <x:f t="shared" ref="D7:D13" si="1">ROUND(D6*1.8,2)</x:f>
        <x:v>4.05</x:v>
      </x:c>
      <x:c r="E7">
        <x:f t="shared" si="0"/>
        <x:v>4.05</x:v>
      </x:c>
      <x:c r="F7" t="n">
        <x:f t="shared" ref="F7:F13" si="2">ROUND(F6*1.4,2)</x:f>
        <x:v>2.74</x:v>
      </x:c>
      <x:c r="G7">
        <x:v>1.6</x:v>
      </x:c>
      <x:c r="H7" t="n">
        <x:v>0</x:v>
      </x:c>
    </x:row>
    <x:row r="8">
      <x:c r="A8">
        <x:v>5</x:v>
      </x:c>
      <x:c r="B8">
        <x:v>1000</x:v>
      </x:c>
      <x:c r="C8" t="s">
        <x:v>23</x:v>
      </x:c>
      <x:c r="D8">
        <x:f t="shared" si="1"/>
        <x:v>7.29</x:v>
      </x:c>
      <x:c r="E8">
        <x:f t="shared" si="0"/>
        <x:v>7.29</x:v>
      </x:c>
      <x:c r="F8">
        <x:f t="shared" si="2"/>
        <x:v>3.84</x:v>
      </x:c>
      <x:c r="G8">
        <x:v>1.8</x:v>
      </x:c>
      <x:c r="H8" t="n">
        <x:v>0</x:v>
      </x:c>
    </x:row>
    <x:row r="9">
      <x:c r="A9">
        <x:v>6</x:v>
      </x:c>
      <x:c r="B9">
        <x:v>1000</x:v>
      </x:c>
      <x:c r="C9" t="s">
        <x:v>24</x:v>
      </x:c>
      <x:c r="D9">
        <x:f t="shared" si="1"/>
        <x:v>13.12</x:v>
      </x:c>
      <x:c r="E9">
        <x:f t="shared" si="0"/>
        <x:v>13.12</x:v>
      </x:c>
      <x:c r="F9">
        <x:f t="shared" si="2"/>
        <x:v>5.38</x:v>
      </x:c>
      <x:c r="G9">
        <x:v>2</x:v>
      </x:c>
      <x:c r="H9" t="n">
        <x:v>0</x:v>
      </x:c>
    </x:row>
    <x:row r="10">
      <x:c r="A10">
        <x:v>7</x:v>
      </x:c>
      <x:c r="B10">
        <x:v>1000</x:v>
      </x:c>
      <x:c r="C10" t="s">
        <x:v>25</x:v>
      </x:c>
      <x:c r="D10">
        <x:f t="shared" si="1"/>
        <x:v>23.62</x:v>
      </x:c>
      <x:c r="E10">
        <x:f t="shared" si="0"/>
        <x:v>23.62</x:v>
      </x:c>
      <x:c r="F10">
        <x:f t="shared" si="2"/>
        <x:v>7.53</x:v>
      </x:c>
      <x:c r="G10">
        <x:v>2.2</x:v>
      </x:c>
      <x:c r="H10" t="n">
        <x:v>0</x:v>
      </x:c>
    </x:row>
    <x:row r="11">
      <x:c r="A11">
        <x:v>8</x:v>
      </x:c>
      <x:c r="B11">
        <x:v>1000</x:v>
      </x:c>
      <x:c r="C11" t="s">
        <x:v>26</x:v>
      </x:c>
      <x:c r="D11">
        <x:f t="shared" si="1"/>
        <x:v>42.52</x:v>
      </x:c>
      <x:c r="E11">
        <x:f t="shared" si="0"/>
        <x:v>42.52</x:v>
      </x:c>
      <x:c r="F11">
        <x:f t="shared" si="2"/>
        <x:v>10.54</x:v>
      </x:c>
      <x:c r="G11">
        <x:v>2.4</x:v>
      </x:c>
      <x:c r="H11" t="n">
        <x:v>0</x:v>
      </x:c>
    </x:row>
    <x:row r="12">
      <x:c r="A12">
        <x:v>9</x:v>
      </x:c>
      <x:c r="B12">
        <x:v>1000</x:v>
      </x:c>
      <x:c r="C12" t="s">
        <x:v>27</x:v>
      </x:c>
      <x:c r="D12">
        <x:f t="shared" si="1"/>
        <x:v>76.54</x:v>
      </x:c>
      <x:c r="E12">
        <x:f t="shared" si="0"/>
        <x:v>76.54</x:v>
      </x:c>
      <x:c r="F12">
        <x:f t="shared" si="2"/>
        <x:v>14.76</x:v>
      </x:c>
      <x:c r="G12">
        <x:v>2.6</x:v>
      </x:c>
      <x:c r="H12" t="n">
        <x:v>0</x:v>
      </x:c>
    </x:row>
    <x:row r="13">
      <x:c r="A13">
        <x:v>10</x:v>
      </x:c>
      <x:c r="B13">
        <x:v>1000</x:v>
      </x:c>
      <x:c r="C13" t="s">
        <x:v>28</x:v>
      </x:c>
      <x:c r="D13">
        <x:f t="shared" si="1"/>
        <x:v>137.77</x:v>
      </x:c>
      <x:c r="E13">
        <x:f t="shared" si="0"/>
        <x:v>137.77</x:v>
      </x:c>
      <x:c r="F13">
        <x:f t="shared" si="2"/>
        <x:v>20.66</x:v>
      </x:c>
      <x:c r="G13">
        <x:v>2.8</x:v>
      </x:c>
      <x:c r="H13" t="n">
        <x:v>0</x:v>
      </x:c>
    </x:row>
    <x:row r="14">
      <x:c r="A14">
        <x:v>11</x:v>
      </x:c>
      <x:c r="B14">
        <x:v>1000</x:v>
      </x:c>
      <x:c r="C14" t="s">
        <x:v>24</x:v>
      </x:c>
      <x:c r="D14" t="n">
        <x:f>ROUND(($D$23-$D$13)^((A14-$A$13)/10)+$D$13,0)</x:f>
        <x:v>148</x:v>
      </x:c>
      <x:c r="E14">
        <x:f t="shared" si="0"/>
        <x:v>148</x:v>
      </x:c>
      <x:c r="F14" t="n">
        <x:f>ROUND(($F$23-$F$13)^((A14-$A$13)/10)+$F$13,0)</x:f>
        <x:v>24</x:v>
      </x:c>
      <x:c r="G14">
        <x:v>3</x:v>
      </x:c>
      <x:c r="H14" t="n">
        <x:v>0</x:v>
      </x:c>
    </x:row>
    <x:row r="15">
      <x:c r="A15">
        <x:v>12</x:v>
      </x:c>
      <x:c r="B15">
        <x:v>1000</x:v>
      </x:c>
      <x:c r="C15" t="s">
        <x:v>25</x:v>
      </x:c>
      <x:c r="D15" t="n">
        <x:f t="shared" ref="D15:D22" si="3">ROUND(($D$23-$D$13)^((A15-$A$13)/10)+$D$13,0)</x:f>
        <x:v>238</x:v>
      </x:c>
      <x:c r="E15">
        <x:f t="shared" si="0"/>
        <x:v>238</x:v>
      </x:c>
      <x:c r="F15" t="n">
        <x:f t="shared" ref="F15:F22" si="4">ROUND(($F$23-$F$13)^((A15-$A$13)/10)+$F$13,0)</x:f>
        <x:v>34</x:v>
      </x:c>
      <x:c r="G15">
        <x:v>3.2</x:v>
      </x:c>
      <x:c r="H15" t="n">
        <x:v>0</x:v>
      </x:c>
    </x:row>
    <x:row r="16">
      <x:c r="A16">
        <x:v>13</x:v>
      </x:c>
      <x:c r="B16">
        <x:v>1000</x:v>
      </x:c>
      <x:c r="C16" t="s">
        <x:v>26</x:v>
      </x:c>
      <x:c r="D16">
        <x:f t="shared" si="3"/>
        <x:v>1138</x:v>
      </x:c>
      <x:c r="E16">
        <x:f t="shared" si="0"/>
        <x:v>1138</x:v>
      </x:c>
      <x:c r="F16">
        <x:f t="shared" si="4"/>
        <x:v>72</x:v>
      </x:c>
      <x:c r="G16">
        <x:v>3.4</x:v>
      </x:c>
      <x:c r="H16" t="n">
        <x:v>0</x:v>
      </x:c>
    </x:row>
    <x:row r="17">
      <x:c r="A17">
        <x:v>14</x:v>
      </x:c>
      <x:c r="B17">
        <x:v>1000</x:v>
      </x:c>
      <x:c r="C17" t="s">
        <x:v>27</x:v>
      </x:c>
      <x:c r="D17">
        <x:f t="shared" si="3"/>
        <x:v>10138</x:v>
      </x:c>
      <x:c r="E17">
        <x:f t="shared" si="0"/>
        <x:v>10138</x:v>
      </x:c>
      <x:c r="F17">
        <x:f t="shared" si="4"/>
        <x:v>211</x:v>
      </x:c>
      <x:c r="G17">
        <x:v>3.6</x:v>
      </x:c>
      <x:c r="H17" t="n">
        <x:v>0</x:v>
      </x:c>
    </x:row>
    <x:row r="18">
      <x:c r="A18">
        <x:v>15</x:v>
      </x:c>
      <x:c r="B18">
        <x:v>1000</x:v>
      </x:c>
      <x:c r="C18" t="s">
        <x:v>28</x:v>
      </x:c>
      <x:c r="D18">
        <x:f t="shared" si="3"/>
        <x:v>100138</x:v>
      </x:c>
      <x:c r="E18">
        <x:f t="shared" si="0"/>
        <x:v>100138</x:v>
      </x:c>
      <x:c r="F18">
        <x:f t="shared" si="4"/>
        <x:v>728</x:v>
      </x:c>
      <x:c r="G18">
        <x:v>3.8</x:v>
      </x:c>
      <x:c r="H18" t="n">
        <x:v>0</x:v>
      </x:c>
    </x:row>
    <x:row r="19">
      <x:c r="A19">
        <x:v>16</x:v>
      </x:c>
      <x:c r="B19">
        <x:v>1000</x:v>
      </x:c>
      <x:c r="C19" t="s">
        <x:v>24</x:v>
      </x:c>
      <x:c r="D19">
        <x:f t="shared" si="3"/>
        <x:v>1000138</x:v>
      </x:c>
      <x:c r="E19">
        <x:f t="shared" si="0"/>
        <x:v>1000138</x:v>
      </x:c>
      <x:c r="F19">
        <x:f t="shared" si="4"/>
        <x:v>2647</x:v>
      </x:c>
      <x:c r="G19">
        <x:v>4</x:v>
      </x:c>
      <x:c r="H19" t="n">
        <x:v>0</x:v>
      </x:c>
    </x:row>
    <x:row r="20">
      <x:c r="A20">
        <x:v>17</x:v>
      </x:c>
      <x:c r="B20">
        <x:v>1000</x:v>
      </x:c>
      <x:c r="C20" t="s">
        <x:v>25</x:v>
      </x:c>
      <x:c r="D20">
        <x:f t="shared" si="3"/>
        <x:v>10000138</x:v>
      </x:c>
      <x:c r="E20">
        <x:f t="shared" si="0"/>
        <x:v>10000138</x:v>
      </x:c>
      <x:c r="F20">
        <x:f t="shared" si="4"/>
        <x:v>9777</x:v>
      </x:c>
      <x:c r="G20">
        <x:v>4.2</x:v>
      </x:c>
      <x:c r="H20" t="n">
        <x:v>0</x:v>
      </x:c>
    </x:row>
    <x:row r="21">
      <x:c r="A21">
        <x:v>18</x:v>
      </x:c>
      <x:c r="B21">
        <x:v>1000</x:v>
      </x:c>
      <x:c r="C21" t="s">
        <x:v>26</x:v>
      </x:c>
      <x:c r="D21">
        <x:f t="shared" si="3"/>
        <x:v>100000137</x:v>
      </x:c>
      <x:c r="E21">
        <x:f t="shared" si="0"/>
        <x:v>100000137</x:v>
      </x:c>
      <x:c r="F21">
        <x:f t="shared" si="4"/>
        <x:v>36258</x:v>
      </x:c>
      <x:c r="G21">
        <x:v>4.4</x:v>
      </x:c>
      <x:c r="H21" t="n">
        <x:v>0</x:v>
      </x:c>
    </x:row>
    <x:row r="22">
      <x:c r="A22">
        <x:v>19</x:v>
      </x:c>
      <x:c r="B22">
        <x:v>1000</x:v>
      </x:c>
      <x:c r="C22" t="s">
        <x:v>27</x:v>
      </x:c>
      <x:c r="D22">
        <x:f t="shared" si="3"/>
        <x:v>1000000125</x:v>
      </x:c>
      <x:c r="E22">
        <x:f t="shared" si="0"/>
        <x:v>1000000125</x:v>
      </x:c>
      <x:c r="F22">
        <x:f t="shared" si="4"/>
        <x:v>134624</x:v>
      </x:c>
      <x:c r="G22">
        <x:v>4.6</x:v>
      </x:c>
      <x:c r="H22" t="n">
        <x:v>0</x:v>
      </x:c>
    </x:row>
    <x:row r="23">
      <x:c r="A23">
        <x:v>20</x:v>
      </x:c>
      <x:c r="B23">
        <x:v>1000</x:v>
      </x:c>
      <x:c r="C23" t="s">
        <x:v>28</x:v>
      </x:c>
      <x:c r="D23">
        <x:v>10000000000</x:v>
      </x:c>
      <x:c r="E23">
        <x:v>9019699279.54</x:v>
      </x:c>
      <x:c r="F23">
        <x:v>500000</x:v>
      </x:c>
      <x:c r="G23">
        <x:v>4.8</x:v>
      </x:c>
      <x:c r="H23" t="n">
        <x:v>0</x:v>
      </x:c>
    </x:row>
    <x:row r="24">
      <x:c r="A24">
        <x:v>21</x:v>
      </x:c>
      <x:c r="B24">
        <x:v>1000</x:v>
      </x:c>
      <x:c r="C24" t="s">
        <x:v>24</x:v>
      </x:c>
      <x:c r="D24" t="n">
        <x:f>ROUND(D23*10,0)</x:f>
        <x:v>100000000000</x:v>
      </x:c>
      <x:c r="E24">
        <x:f t="shared" si="0"/>
        <x:v>100000000000</x:v>
      </x:c>
      <x:c r="F24" t="n">
        <x:f>ROUND(F23*1.4,-5)</x:f>
        <x:v>700000</x:v>
      </x:c>
      <x:c r="G24">
        <x:v>5</x:v>
      </x:c>
      <x:c r="H24" t="n">
        <x:v>0</x:v>
      </x:c>
    </x:row>
    <x:row r="25">
      <x:c r="A25">
        <x:v>22</x:v>
      </x:c>
      <x:c r="B25">
        <x:v>1000</x:v>
      </x:c>
      <x:c r="C25" t="s">
        <x:v>25</x:v>
      </x:c>
      <x:c r="D25" t="n">
        <x:f t="shared" ref="D25:D56" si="5">ROUND(D24*10,0)</x:f>
        <x:v>1000000000000</x:v>
      </x:c>
      <x:c r="E25">
        <x:f t="shared" si="0"/>
        <x:v>1000000000000</x:v>
      </x:c>
      <x:c r="F25" t="n">
        <x:f t="shared" ref="F25:F34" si="6">ROUND(F24*1.4,-5)</x:f>
        <x:v>1000000</x:v>
      </x:c>
      <x:c r="G25">
        <x:v>5.2</x:v>
      </x:c>
      <x:c r="H25" t="n">
        <x:v>0</x:v>
      </x:c>
    </x:row>
    <x:row r="26">
      <x:c r="A26">
        <x:v>23</x:v>
      </x:c>
      <x:c r="B26">
        <x:v>1000</x:v>
      </x:c>
      <x:c r="C26" t="s">
        <x:v>26</x:v>
      </x:c>
      <x:c r="D26">
        <x:f t="shared" si="5"/>
        <x:v>10000000000000</x:v>
      </x:c>
      <x:c r="E26">
        <x:f t="shared" si="0"/>
        <x:v>10000000000000</x:v>
      </x:c>
      <x:c r="F26">
        <x:f t="shared" si="6"/>
        <x:v>1400000</x:v>
      </x:c>
      <x:c r="G26">
        <x:v>5.4</x:v>
      </x:c>
      <x:c r="H26" t="n">
        <x:v>0</x:v>
      </x:c>
    </x:row>
    <x:row r="27">
      <x:c r="A27">
        <x:v>24</x:v>
      </x:c>
      <x:c r="B27">
        <x:v>1000</x:v>
      </x:c>
      <x:c r="C27" t="s">
        <x:v>27</x:v>
      </x:c>
      <x:c r="D27">
        <x:f t="shared" si="5"/>
        <x:v>100000000000000</x:v>
      </x:c>
      <x:c r="E27">
        <x:f t="shared" si="0"/>
        <x:v>100000000000000</x:v>
      </x:c>
      <x:c r="F27">
        <x:f t="shared" si="6"/>
        <x:v>2000000</x:v>
      </x:c>
      <x:c r="G27">
        <x:v>5.6</x:v>
      </x:c>
      <x:c r="H27" t="n">
        <x:v>0</x:v>
      </x:c>
    </x:row>
    <x:row r="28">
      <x:c r="A28">
        <x:v>25</x:v>
      </x:c>
      <x:c r="B28">
        <x:v>1000</x:v>
      </x:c>
      <x:c r="C28" t="s">
        <x:v>28</x:v>
      </x:c>
      <x:c r="D28">
        <x:f t="shared" si="5"/>
        <x:v>1000000000000000</x:v>
      </x:c>
      <x:c r="E28">
        <x:f t="shared" si="0"/>
        <x:v>1000000000000000</x:v>
      </x:c>
      <x:c r="F28">
        <x:f t="shared" si="6"/>
        <x:v>2800000</x:v>
      </x:c>
      <x:c r="G28">
        <x:v>5.8</x:v>
      </x:c>
      <x:c r="H28" t="n">
        <x:v>0</x:v>
      </x:c>
    </x:row>
    <x:row r="29">
      <x:c r="A29">
        <x:v>26</x:v>
      </x:c>
      <x:c r="B29">
        <x:v>1000</x:v>
      </x:c>
      <x:c r="C29" t="s">
        <x:v>24</x:v>
      </x:c>
      <x:c r="D29">
        <x:f t="shared" si="5"/>
        <x:v>1e+16</x:v>
      </x:c>
      <x:c r="E29">
        <x:f t="shared" si="0"/>
        <x:v>1e+16</x:v>
      </x:c>
      <x:c r="F29">
        <x:f t="shared" si="6"/>
        <x:v>3900000</x:v>
      </x:c>
      <x:c r="G29">
        <x:v>6</x:v>
      </x:c>
      <x:c r="H29" t="n">
        <x:v>0</x:v>
      </x:c>
    </x:row>
    <x:row r="30">
      <x:c r="A30">
        <x:v>27</x:v>
      </x:c>
      <x:c r="B30">
        <x:v>1000</x:v>
      </x:c>
      <x:c r="C30" t="s">
        <x:v>25</x:v>
      </x:c>
      <x:c r="D30">
        <x:f t="shared" si="5"/>
        <x:v>1e+17</x:v>
      </x:c>
      <x:c r="E30">
        <x:f t="shared" si="0"/>
        <x:v>1e+17</x:v>
      </x:c>
      <x:c r="F30">
        <x:f t="shared" si="6"/>
        <x:v>5500000</x:v>
      </x:c>
      <x:c r="G30">
        <x:v>6.2</x:v>
      </x:c>
      <x:c r="H30" t="n">
        <x:v>0</x:v>
      </x:c>
    </x:row>
    <x:row r="31">
      <x:c r="A31">
        <x:v>28</x:v>
      </x:c>
      <x:c r="B31">
        <x:v>1000</x:v>
      </x:c>
      <x:c r="C31" t="s">
        <x:v>26</x:v>
      </x:c>
      <x:c r="D31">
        <x:f t="shared" si="5"/>
        <x:v>1e+18</x:v>
      </x:c>
      <x:c r="E31">
        <x:f t="shared" si="0"/>
        <x:v>1e+18</x:v>
      </x:c>
      <x:c r="F31">
        <x:f t="shared" si="6"/>
        <x:v>7700000</x:v>
      </x:c>
      <x:c r="G31">
        <x:v>6.4</x:v>
      </x:c>
      <x:c r="H31" t="n">
        <x:v>0</x:v>
      </x:c>
    </x:row>
    <x:row r="32">
      <x:c r="A32">
        <x:v>29</x:v>
      </x:c>
      <x:c r="B32">
        <x:v>1000</x:v>
      </x:c>
      <x:c r="C32" t="s">
        <x:v>27</x:v>
      </x:c>
      <x:c r="D32">
        <x:f t="shared" si="5"/>
        <x:v>1e+19</x:v>
      </x:c>
      <x:c r="E32">
        <x:f t="shared" si="0"/>
        <x:v>1e+19</x:v>
      </x:c>
      <x:c r="F32">
        <x:f t="shared" si="6"/>
        <x:v>10800000</x:v>
      </x:c>
      <x:c r="G32">
        <x:v>6.6</x:v>
      </x:c>
      <x:c r="H32" t="n">
        <x:v>0</x:v>
      </x:c>
    </x:row>
    <x:row r="33">
      <x:c r="A33">
        <x:v>30</x:v>
      </x:c>
      <x:c r="B33">
        <x:v>1000</x:v>
      </x:c>
      <x:c r="C33" t="s">
        <x:v>28</x:v>
      </x:c>
      <x:c r="D33">
        <x:f t="shared" si="5"/>
        <x:v>1e+20</x:v>
      </x:c>
      <x:c r="E33">
        <x:f t="shared" si="0"/>
        <x:v>1e+20</x:v>
      </x:c>
      <x:c r="F33">
        <x:f t="shared" si="6"/>
        <x:v>15100000</x:v>
      </x:c>
      <x:c r="G33">
        <x:v>6.8</x:v>
      </x:c>
      <x:c r="H33" t="n">
        <x:v>1</x:v>
      </x:c>
    </x:row>
    <x:row r="34">
      <x:c r="A34">
        <x:v>31</x:v>
      </x:c>
      <x:c r="B34">
        <x:v>1000</x:v>
      </x:c>
      <x:c r="C34" t="s">
        <x:v>24</x:v>
      </x:c>
      <x:c r="D34">
        <x:f t="shared" si="5"/>
        <x:v>1e+21</x:v>
      </x:c>
      <x:c r="E34">
        <x:f t="shared" si="0"/>
        <x:v>1e+21</x:v>
      </x:c>
      <x:c r="F34">
        <x:f t="shared" si="6"/>
        <x:v>21100000</x:v>
      </x:c>
      <x:c r="G34">
        <x:v>7</x:v>
      </x:c>
      <x:c r="H34" t="n">
        <x:v>1.2</x:v>
      </x:c>
    </x:row>
    <x:row r="35">
      <x:c r="A35">
        <x:v>32</x:v>
      </x:c>
      <x:c r="B35">
        <x:v>1000</x:v>
      </x:c>
      <x:c r="C35" t="s">
        <x:v>25</x:v>
      </x:c>
      <x:c r="D35">
        <x:f t="shared" si="5"/>
        <x:v>1e+22</x:v>
      </x:c>
      <x:c r="E35">
        <x:f t="shared" si="0"/>
        <x:v>1e+22</x:v>
      </x:c>
      <x:c r="F35" t="n">
        <x:f t="shared" ref="F35:F73" si="7">ROUND(F34*1.4,-5)</x:f>
        <x:v>29500000</x:v>
      </x:c>
      <x:c r="G35">
        <x:v>7.2</x:v>
      </x:c>
      <x:c r="H35" t="n">
        <x:v>1.44</x:v>
      </x:c>
    </x:row>
    <x:row r="36">
      <x:c r="A36">
        <x:v>33</x:v>
      </x:c>
      <x:c r="B36">
        <x:v>1000</x:v>
      </x:c>
      <x:c r="C36" t="s">
        <x:v>26</x:v>
      </x:c>
      <x:c r="D36">
        <x:f t="shared" si="5"/>
        <x:v>1e+23</x:v>
      </x:c>
      <x:c r="E36">
        <x:f t="shared" si="0"/>
        <x:v>1e+23</x:v>
      </x:c>
      <x:c r="F36">
        <x:f t="shared" si="7"/>
        <x:v>41300000</x:v>
      </x:c>
      <x:c r="G36">
        <x:v>7.4</x:v>
      </x:c>
      <x:c r="H36" t="n">
        <x:v>1.73</x:v>
      </x:c>
    </x:row>
    <x:row r="37">
      <x:c r="A37">
        <x:v>34</x:v>
      </x:c>
      <x:c r="B37">
        <x:v>1000</x:v>
      </x:c>
      <x:c r="C37" t="s">
        <x:v>27</x:v>
      </x:c>
      <x:c r="D37">
        <x:f t="shared" si="5"/>
        <x:v>1e+24</x:v>
      </x:c>
      <x:c r="E37">
        <x:f t="shared" si="0"/>
        <x:v>1e+24</x:v>
      </x:c>
      <x:c r="F37">
        <x:f t="shared" si="7"/>
        <x:v>57800000</x:v>
      </x:c>
      <x:c r="G37">
        <x:v>7.6</x:v>
      </x:c>
      <x:c r="H37" t="n">
        <x:v>2.08</x:v>
      </x:c>
    </x:row>
    <x:row r="38">
      <x:c r="A38">
        <x:v>35</x:v>
      </x:c>
      <x:c r="B38">
        <x:v>1000</x:v>
      </x:c>
      <x:c r="C38" t="s">
        <x:v>28</x:v>
      </x:c>
      <x:c r="D38">
        <x:f t="shared" si="5"/>
        <x:v>1e+25</x:v>
      </x:c>
      <x:c r="E38">
        <x:f t="shared" si="0"/>
        <x:v>1e+25</x:v>
      </x:c>
      <x:c r="F38">
        <x:f t="shared" si="7"/>
        <x:v>80900000</x:v>
      </x:c>
      <x:c r="G38">
        <x:v>7.8</x:v>
      </x:c>
      <x:c r="H38" t="n">
        <x:v>2.5</x:v>
      </x:c>
    </x:row>
    <x:row r="39">
      <x:c r="A39">
        <x:v>36</x:v>
      </x:c>
      <x:c r="B39">
        <x:v>1000</x:v>
      </x:c>
      <x:c r="C39" t="s">
        <x:v>24</x:v>
      </x:c>
      <x:c r="D39">
        <x:f t="shared" si="5"/>
        <x:v>1e+26</x:v>
      </x:c>
      <x:c r="E39">
        <x:f t="shared" si="0"/>
        <x:v>1e+26</x:v>
      </x:c>
      <x:c r="F39">
        <x:f t="shared" si="7"/>
        <x:v>113300000</x:v>
      </x:c>
      <x:c r="G39">
        <x:v>8</x:v>
      </x:c>
      <x:c r="H39" t="n">
        <x:v>3</x:v>
      </x:c>
    </x:row>
    <x:row r="40">
      <x:c r="A40">
        <x:v>37</x:v>
      </x:c>
      <x:c r="B40">
        <x:v>1000</x:v>
      </x:c>
      <x:c r="C40" t="s">
        <x:v>25</x:v>
      </x:c>
      <x:c r="D40">
        <x:f t="shared" si="5"/>
        <x:v>1e+27</x:v>
      </x:c>
      <x:c r="E40">
        <x:f t="shared" si="0"/>
        <x:v>1e+27</x:v>
      </x:c>
      <x:c r="F40">
        <x:f t="shared" si="7"/>
        <x:v>158600000</x:v>
      </x:c>
      <x:c r="G40">
        <x:v>8.2</x:v>
      </x:c>
      <x:c r="H40" t="n">
        <x:v>3.6</x:v>
      </x:c>
    </x:row>
    <x:row r="41">
      <x:c r="A41">
        <x:v>38</x:v>
      </x:c>
      <x:c r="B41">
        <x:v>1000</x:v>
      </x:c>
      <x:c r="C41" t="s">
        <x:v>26</x:v>
      </x:c>
      <x:c r="D41">
        <x:f t="shared" si="5"/>
        <x:v>1e+28</x:v>
      </x:c>
      <x:c r="E41">
        <x:f t="shared" si="0"/>
        <x:v>1e+28</x:v>
      </x:c>
      <x:c r="F41">
        <x:f t="shared" si="7"/>
        <x:v>222000000</x:v>
      </x:c>
      <x:c r="G41">
        <x:v>8.4</x:v>
      </x:c>
      <x:c r="H41" t="n">
        <x:v>4.32</x:v>
      </x:c>
    </x:row>
    <x:row r="42">
      <x:c r="A42">
        <x:v>39</x:v>
      </x:c>
      <x:c r="B42">
        <x:v>1000</x:v>
      </x:c>
      <x:c r="C42" t="s">
        <x:v>27</x:v>
      </x:c>
      <x:c r="D42">
        <x:f t="shared" si="5"/>
        <x:v>1e+29</x:v>
      </x:c>
      <x:c r="E42">
        <x:f t="shared" si="0"/>
        <x:v>1e+29</x:v>
      </x:c>
      <x:c r="F42">
        <x:f t="shared" si="7"/>
        <x:v>310800000</x:v>
      </x:c>
      <x:c r="G42">
        <x:v>8.6</x:v>
      </x:c>
      <x:c r="H42" t="n">
        <x:v>5.18</x:v>
      </x:c>
    </x:row>
    <x:row r="43">
      <x:c r="A43">
        <x:v>40</x:v>
      </x:c>
      <x:c r="B43">
        <x:v>1000</x:v>
      </x:c>
      <x:c r="C43" t="s">
        <x:v>28</x:v>
      </x:c>
      <x:c r="D43">
        <x:f t="shared" si="5"/>
        <x:v>1e+30</x:v>
      </x:c>
      <x:c r="E43">
        <x:f t="shared" si="0"/>
        <x:v>1e+30</x:v>
      </x:c>
      <x:c r="F43">
        <x:f t="shared" si="7"/>
        <x:v>435100000</x:v>
      </x:c>
      <x:c r="G43">
        <x:v>8.8</x:v>
      </x:c>
      <x:c r="H43" t="n">
        <x:v>6.22</x:v>
      </x:c>
    </x:row>
    <x:row r="44">
      <x:c r="A44">
        <x:v>41</x:v>
      </x:c>
      <x:c r="B44">
        <x:v>1000</x:v>
      </x:c>
      <x:c r="C44" t="s">
        <x:v>24</x:v>
      </x:c>
      <x:c r="D44">
        <x:f t="shared" si="5"/>
        <x:v>1e+31</x:v>
      </x:c>
      <x:c r="E44">
        <x:f t="shared" si="0"/>
        <x:v>1e+31</x:v>
      </x:c>
      <x:c r="F44">
        <x:f t="shared" si="7"/>
        <x:v>609100000</x:v>
      </x:c>
      <x:c r="G44">
        <x:v>9</x:v>
      </x:c>
      <x:c r="H44" t="n">
        <x:v>7.46</x:v>
      </x:c>
    </x:row>
    <x:row r="45">
      <x:c r="A45">
        <x:v>42</x:v>
      </x:c>
      <x:c r="B45">
        <x:v>1000</x:v>
      </x:c>
      <x:c r="C45" t="s">
        <x:v>25</x:v>
      </x:c>
      <x:c r="D45">
        <x:f t="shared" si="5"/>
        <x:v>1e+32</x:v>
      </x:c>
      <x:c r="E45">
        <x:f t="shared" si="0"/>
        <x:v>1e+32</x:v>
      </x:c>
      <x:c r="F45">
        <x:f t="shared" si="7"/>
        <x:v>852700000</x:v>
      </x:c>
      <x:c r="G45">
        <x:v>9.2</x:v>
      </x:c>
      <x:c r="H45" t="n">
        <x:v>8.95</x:v>
      </x:c>
    </x:row>
    <x:row r="46">
      <x:c r="A46">
        <x:v>43</x:v>
      </x:c>
      <x:c r="B46">
        <x:v>1000</x:v>
      </x:c>
      <x:c r="C46" t="s">
        <x:v>26</x:v>
      </x:c>
      <x:c r="D46">
        <x:f t="shared" si="5"/>
        <x:v>1e+33</x:v>
      </x:c>
      <x:c r="E46">
        <x:f t="shared" si="0"/>
        <x:v>1e+33</x:v>
      </x:c>
      <x:c r="F46">
        <x:f t="shared" si="7"/>
        <x:v>1193800000</x:v>
      </x:c>
      <x:c r="G46">
        <x:v>9.4</x:v>
      </x:c>
      <x:c r="H46" t="n">
        <x:v>10.74</x:v>
      </x:c>
    </x:row>
    <x:row r="47">
      <x:c r="A47">
        <x:v>44</x:v>
      </x:c>
      <x:c r="B47">
        <x:v>1000</x:v>
      </x:c>
      <x:c r="C47" t="s">
        <x:v>27</x:v>
      </x:c>
      <x:c r="D47">
        <x:f t="shared" si="5"/>
        <x:v>1e+34</x:v>
      </x:c>
      <x:c r="E47">
        <x:f t="shared" si="0"/>
        <x:v>1e+34</x:v>
      </x:c>
      <x:c r="F47">
        <x:f t="shared" si="7"/>
        <x:v>1671300000</x:v>
      </x:c>
      <x:c r="G47">
        <x:v>9.6</x:v>
      </x:c>
      <x:c r="H47" t="n">
        <x:v>12.89</x:v>
      </x:c>
    </x:row>
    <x:row r="48">
      <x:c r="A48">
        <x:v>45</x:v>
      </x:c>
      <x:c r="B48">
        <x:v>1000</x:v>
      </x:c>
      <x:c r="C48" t="s">
        <x:v>28</x:v>
      </x:c>
      <x:c r="D48">
        <x:f t="shared" si="5"/>
        <x:v>1e+35</x:v>
      </x:c>
      <x:c r="E48">
        <x:f t="shared" si="0"/>
        <x:v>1e+35</x:v>
      </x:c>
      <x:c r="F48">
        <x:f t="shared" si="7"/>
        <x:v>2339800000</x:v>
      </x:c>
      <x:c r="G48">
        <x:v>9.8</x:v>
      </x:c>
      <x:c r="H48" t="n">
        <x:v>15.47</x:v>
      </x:c>
    </x:row>
    <x:row r="49">
      <x:c r="A49">
        <x:v>46</x:v>
      </x:c>
      <x:c r="B49">
        <x:v>1000</x:v>
      </x:c>
      <x:c r="C49" t="s">
        <x:v>24</x:v>
      </x:c>
      <x:c r="D49">
        <x:f t="shared" si="5"/>
        <x:v>1e+36</x:v>
      </x:c>
      <x:c r="E49">
        <x:f t="shared" si="0"/>
        <x:v>1e+36</x:v>
      </x:c>
      <x:c r="F49">
        <x:f t="shared" si="7"/>
        <x:v>3275700000</x:v>
      </x:c>
      <x:c r="G49">
        <x:v>10</x:v>
      </x:c>
      <x:c r="H49" t="n">
        <x:v>18.56</x:v>
      </x:c>
    </x:row>
    <x:row r="50">
      <x:c r="A50">
        <x:v>47</x:v>
      </x:c>
      <x:c r="B50">
        <x:v>1000</x:v>
      </x:c>
      <x:c r="C50" t="s">
        <x:v>25</x:v>
      </x:c>
      <x:c r="D50">
        <x:f t="shared" si="5"/>
        <x:v>1e+37</x:v>
      </x:c>
      <x:c r="E50">
        <x:f t="shared" si="0"/>
        <x:v>1e+37</x:v>
      </x:c>
      <x:c r="F50">
        <x:f t="shared" si="7"/>
        <x:v>4586000000</x:v>
      </x:c>
      <x:c r="G50">
        <x:v>10.2</x:v>
      </x:c>
      <x:c r="H50" t="n">
        <x:v>22.27</x:v>
      </x:c>
    </x:row>
    <x:row r="51">
      <x:c r="A51">
        <x:v>48</x:v>
      </x:c>
      <x:c r="B51">
        <x:v>1000</x:v>
      </x:c>
      <x:c r="C51" t="s">
        <x:v>26</x:v>
      </x:c>
      <x:c r="D51">
        <x:f t="shared" si="5"/>
        <x:v>1e+38</x:v>
      </x:c>
      <x:c r="E51">
        <x:f t="shared" si="0"/>
        <x:v>1e+38</x:v>
      </x:c>
      <x:c r="F51">
        <x:f t="shared" si="7"/>
        <x:v>6420400000</x:v>
      </x:c>
      <x:c r="G51">
        <x:v>10.4</x:v>
      </x:c>
      <x:c r="H51" t="n">
        <x:v>26.72</x:v>
      </x:c>
    </x:row>
    <x:row r="52">
      <x:c r="A52">
        <x:v>49</x:v>
      </x:c>
      <x:c r="B52">
        <x:v>1000</x:v>
      </x:c>
      <x:c r="C52" t="s">
        <x:v>27</x:v>
      </x:c>
      <x:c r="D52">
        <x:f t="shared" si="5"/>
        <x:v>1e+39</x:v>
      </x:c>
      <x:c r="E52">
        <x:f t="shared" si="0"/>
        <x:v>1e+39</x:v>
      </x:c>
      <x:c r="F52">
        <x:f t="shared" si="7"/>
        <x:v>8988600000</x:v>
      </x:c>
      <x:c r="G52">
        <x:v>10.6</x:v>
      </x:c>
      <x:c r="H52" t="n">
        <x:v>32.06</x:v>
      </x:c>
    </x:row>
    <x:row r="53">
      <x:c r="A53">
        <x:v>50</x:v>
      </x:c>
      <x:c r="B53">
        <x:v>1000</x:v>
      </x:c>
      <x:c r="C53" t="s">
        <x:v>28</x:v>
      </x:c>
      <x:c r="D53">
        <x:f t="shared" si="5"/>
        <x:v>1e+40</x:v>
      </x:c>
      <x:c r="E53">
        <x:f t="shared" si="0"/>
        <x:v>1e+40</x:v>
      </x:c>
      <x:c r="F53">
        <x:f t="shared" si="7"/>
        <x:v>12584000000</x:v>
      </x:c>
      <x:c r="G53">
        <x:v>10.8</x:v>
      </x:c>
      <x:c r="H53" t="n">
        <x:v>38.47</x:v>
      </x:c>
    </x:row>
    <x:row r="54">
      <x:c r="A54">
        <x:v>51</x:v>
      </x:c>
      <x:c r="B54">
        <x:v>1000</x:v>
      </x:c>
      <x:c r="C54" t="s">
        <x:v>24</x:v>
      </x:c>
      <x:c r="D54">
        <x:f t="shared" si="5"/>
        <x:v>1e+41</x:v>
      </x:c>
      <x:c r="E54">
        <x:f t="shared" si="0"/>
        <x:v>1e+41</x:v>
      </x:c>
      <x:c r="F54">
        <x:f t="shared" si="7"/>
        <x:v>17617600000</x:v>
      </x:c>
      <x:c r="G54">
        <x:v>11</x:v>
      </x:c>
      <x:c r="H54" t="n">
        <x:v>46.16</x:v>
      </x:c>
    </x:row>
    <x:row r="55">
      <x:c r="A55">
        <x:v>52</x:v>
      </x:c>
      <x:c r="B55">
        <x:v>1000</x:v>
      </x:c>
      <x:c r="C55" t="s">
        <x:v>25</x:v>
      </x:c>
      <x:c r="D55">
        <x:f t="shared" si="5"/>
        <x:v>1e+42</x:v>
      </x:c>
      <x:c r="E55">
        <x:f t="shared" si="0"/>
        <x:v>1e+42</x:v>
      </x:c>
      <x:c r="F55">
        <x:f t="shared" si="7"/>
        <x:v>24664600000</x:v>
      </x:c>
      <x:c r="G55">
        <x:v>11.2</x:v>
      </x:c>
      <x:c r="H55" t="n">
        <x:v>55.39</x:v>
      </x:c>
    </x:row>
    <x:row r="56">
      <x:c r="A56">
        <x:v>53</x:v>
      </x:c>
      <x:c r="B56">
        <x:v>1000</x:v>
      </x:c>
      <x:c r="C56" t="s">
        <x:v>26</x:v>
      </x:c>
      <x:c r="D56">
        <x:f t="shared" si="5"/>
        <x:v>1e+43</x:v>
      </x:c>
      <x:c r="E56">
        <x:f t="shared" si="0"/>
        <x:v>1e+43</x:v>
      </x:c>
      <x:c r="F56">
        <x:f t="shared" si="7"/>
        <x:v>34530400000</x:v>
      </x:c>
      <x:c r="G56">
        <x:v>11.4</x:v>
      </x:c>
      <x:c r="H56" t="n">
        <x:v>66.47</x:v>
      </x:c>
    </x:row>
    <x:row r="57">
      <x:c r="A57">
        <x:v>54</x:v>
      </x:c>
      <x:c r="B57">
        <x:v>1000</x:v>
      </x:c>
      <x:c r="C57" t="s">
        <x:v>27</x:v>
      </x:c>
      <x:c r="D57" t="n">
        <x:f t="shared" ref="D57:D73" si="8">ROUND(D56*10,0)</x:f>
        <x:v>1e+44</x:v>
      </x:c>
      <x:c r="E57">
        <x:f t="shared" si="0"/>
        <x:v>1e+44</x:v>
      </x:c>
      <x:c r="F57">
        <x:f t="shared" si="7"/>
        <x:v>48342600000</x:v>
      </x:c>
      <x:c r="G57">
        <x:v>11.6</x:v>
      </x:c>
      <x:c r="H57" t="n">
        <x:v>79.76</x:v>
      </x:c>
    </x:row>
    <x:row r="58">
      <x:c r="A58">
        <x:v>55</x:v>
      </x:c>
      <x:c r="B58">
        <x:v>1000</x:v>
      </x:c>
      <x:c r="C58" t="s">
        <x:v>28</x:v>
      </x:c>
      <x:c r="D58">
        <x:f t="shared" si="8"/>
        <x:v>1e+45</x:v>
      </x:c>
      <x:c r="E58">
        <x:f t="shared" si="0"/>
        <x:v>1e+45</x:v>
      </x:c>
      <x:c r="F58">
        <x:f t="shared" si="7"/>
        <x:v>67679600000</x:v>
      </x:c>
      <x:c r="G58">
        <x:v>11.8</x:v>
      </x:c>
      <x:c r="H58" t="n">
        <x:v>95.71</x:v>
      </x:c>
    </x:row>
    <x:row r="59">
      <x:c r="A59">
        <x:v>56</x:v>
      </x:c>
      <x:c r="B59">
        <x:v>1000</x:v>
      </x:c>
      <x:c r="C59" t="s">
        <x:v>24</x:v>
      </x:c>
      <x:c r="D59">
        <x:f t="shared" si="8"/>
        <x:v>1e+46</x:v>
      </x:c>
      <x:c r="E59">
        <x:f t="shared" si="0"/>
        <x:v>1e+46</x:v>
      </x:c>
      <x:c r="F59">
        <x:f t="shared" si="7"/>
        <x:v>94751400000</x:v>
      </x:c>
      <x:c r="G59">
        <x:v>12</x:v>
      </x:c>
      <x:c r="H59" t="n">
        <x:v>114.85</x:v>
      </x:c>
    </x:row>
    <x:row r="60">
      <x:c r="A60">
        <x:v>57</x:v>
      </x:c>
      <x:c r="B60">
        <x:v>1000</x:v>
      </x:c>
      <x:c r="C60" t="s">
        <x:v>25</x:v>
      </x:c>
      <x:c r="D60">
        <x:f t="shared" si="8"/>
        <x:v>1e+47</x:v>
      </x:c>
      <x:c r="E60">
        <x:f t="shared" si="0"/>
        <x:v>1e+47</x:v>
      </x:c>
      <x:c r="F60">
        <x:f t="shared" si="7"/>
        <x:v>132652000000</x:v>
      </x:c>
      <x:c r="G60">
        <x:v>12.2</x:v>
      </x:c>
      <x:c r="H60" t="n">
        <x:v>137.82</x:v>
      </x:c>
    </x:row>
    <x:row r="61">
      <x:c r="A61">
        <x:v>58</x:v>
      </x:c>
      <x:c r="B61">
        <x:v>1000</x:v>
      </x:c>
      <x:c r="C61" t="s">
        <x:v>26</x:v>
      </x:c>
      <x:c r="D61">
        <x:f t="shared" si="8"/>
        <x:v>1e+48</x:v>
      </x:c>
      <x:c r="E61">
        <x:f t="shared" si="0"/>
        <x:v>1e+48</x:v>
      </x:c>
      <x:c r="F61">
        <x:f t="shared" si="7"/>
        <x:v>185712800000</x:v>
      </x:c>
      <x:c r="G61">
        <x:v>12.4</x:v>
      </x:c>
      <x:c r="H61" t="n">
        <x:v>165.38</x:v>
      </x:c>
    </x:row>
    <x:row r="62">
      <x:c r="A62">
        <x:v>59</x:v>
      </x:c>
      <x:c r="B62">
        <x:v>1000</x:v>
      </x:c>
      <x:c r="C62" t="s">
        <x:v>27</x:v>
      </x:c>
      <x:c r="D62">
        <x:f t="shared" si="8"/>
        <x:v>1e+49</x:v>
      </x:c>
      <x:c r="E62">
        <x:f t="shared" si="0"/>
        <x:v>1e+49</x:v>
      </x:c>
      <x:c r="F62">
        <x:f t="shared" si="7"/>
        <x:v>259997900000</x:v>
      </x:c>
      <x:c r="G62">
        <x:v>12.6</x:v>
      </x:c>
      <x:c r="H62" t="n">
        <x:v>198.46</x:v>
      </x:c>
    </x:row>
    <x:row r="63">
      <x:c r="A63">
        <x:v>60</x:v>
      </x:c>
      <x:c r="B63">
        <x:v>1000</x:v>
      </x:c>
      <x:c r="C63" t="s">
        <x:v>28</x:v>
      </x:c>
      <x:c r="D63">
        <x:f t="shared" si="8"/>
        <x:v>1e+50</x:v>
      </x:c>
      <x:c r="E63">
        <x:f t="shared" si="0"/>
        <x:v>1e+50</x:v>
      </x:c>
      <x:c r="F63">
        <x:f t="shared" si="7"/>
        <x:v>363997100000</x:v>
      </x:c>
      <x:c r="G63">
        <x:v>12.8</x:v>
      </x:c>
      <x:c r="H63" t="n">
        <x:v>238.15</x:v>
      </x:c>
    </x:row>
    <x:row r="64">
      <x:c r="A64">
        <x:v>61</x:v>
      </x:c>
      <x:c r="B64">
        <x:v>1000</x:v>
      </x:c>
      <x:c r="C64" t="s">
        <x:v>24</x:v>
      </x:c>
      <x:c r="D64">
        <x:f t="shared" si="8"/>
        <x:v>1e+51</x:v>
      </x:c>
      <x:c r="E64">
        <x:f t="shared" si="0"/>
        <x:v>1e+51</x:v>
      </x:c>
      <x:c r="F64">
        <x:f t="shared" si="7"/>
        <x:v>509595900000</x:v>
      </x:c>
      <x:c r="G64">
        <x:v>13</x:v>
      </x:c>
      <x:c r="H64" t="n">
        <x:v>285.78</x:v>
      </x:c>
    </x:row>
    <x:row r="65">
      <x:c r="A65">
        <x:v>62</x:v>
      </x:c>
      <x:c r="B65">
        <x:v>1000</x:v>
      </x:c>
      <x:c r="C65" t="s">
        <x:v>25</x:v>
      </x:c>
      <x:c r="D65">
        <x:f t="shared" si="8"/>
        <x:v>1e+52</x:v>
      </x:c>
      <x:c r="E65">
        <x:f t="shared" si="0"/>
        <x:v>1e+52</x:v>
      </x:c>
      <x:c r="F65">
        <x:f t="shared" si="7"/>
        <x:v>713434300000</x:v>
      </x:c>
      <x:c r="G65">
        <x:v>13.2</x:v>
      </x:c>
      <x:c r="H65" t="n">
        <x:v>342.94</x:v>
      </x:c>
    </x:row>
    <x:row r="66">
      <x:c r="A66">
        <x:v>63</x:v>
      </x:c>
      <x:c r="B66">
        <x:v>1000</x:v>
      </x:c>
      <x:c r="C66" t="s">
        <x:v>26</x:v>
      </x:c>
      <x:c r="D66">
        <x:f t="shared" si="8"/>
        <x:v>1e+53</x:v>
      </x:c>
      <x:c r="E66">
        <x:f t="shared" si="0"/>
        <x:v>1e+53</x:v>
      </x:c>
      <x:c r="F66">
        <x:f t="shared" si="7"/>
        <x:v>998808000000</x:v>
      </x:c>
      <x:c r="G66">
        <x:v>13.4</x:v>
      </x:c>
      <x:c r="H66" t="n">
        <x:v>411.53</x:v>
      </x:c>
    </x:row>
    <x:row r="67">
      <x:c r="A67">
        <x:v>64</x:v>
      </x:c>
      <x:c r="B67">
        <x:v>1000</x:v>
      </x:c>
      <x:c r="C67" t="s">
        <x:v>27</x:v>
      </x:c>
      <x:c r="D67">
        <x:f t="shared" si="8"/>
        <x:v>1e+54</x:v>
      </x:c>
      <x:c r="E67">
        <x:f t="shared" si="0"/>
        <x:v>1e+54</x:v>
      </x:c>
      <x:c r="F67">
        <x:f t="shared" si="7"/>
        <x:v>1398331200000</x:v>
      </x:c>
      <x:c r="G67">
        <x:v>13.6</x:v>
      </x:c>
      <x:c r="H67" t="n">
        <x:v>493.84</x:v>
      </x:c>
    </x:row>
    <x:row r="68">
      <x:c r="A68">
        <x:v>65</x:v>
      </x:c>
      <x:c r="B68">
        <x:v>1000</x:v>
      </x:c>
      <x:c r="C68" t="s">
        <x:v>28</x:v>
      </x:c>
      <x:c r="D68">
        <x:f t="shared" si="8"/>
        <x:v>1e+55</x:v>
      </x:c>
      <x:c r="E68" t="n">
        <x:f t="shared" ref="E68:E73" si="9">D68</x:f>
        <x:v>1e+55</x:v>
      </x:c>
      <x:c r="F68">
        <x:f t="shared" si="7"/>
        <x:v>1957663700000</x:v>
      </x:c>
      <x:c r="G68">
        <x:v>13.8</x:v>
      </x:c>
      <x:c r="H68" t="n">
        <x:v>592.61</x:v>
      </x:c>
    </x:row>
    <x:row r="69">
      <x:c r="A69">
        <x:v>66</x:v>
      </x:c>
      <x:c r="B69">
        <x:v>1000</x:v>
      </x:c>
      <x:c r="C69" t="s">
        <x:v>24</x:v>
      </x:c>
      <x:c r="D69">
        <x:f t="shared" si="8"/>
        <x:v>1e+56</x:v>
      </x:c>
      <x:c r="E69">
        <x:f t="shared" si="9"/>
        <x:v>1e+56</x:v>
      </x:c>
      <x:c r="F69">
        <x:f t="shared" si="7"/>
        <x:v>2740729200000</x:v>
      </x:c>
      <x:c r="G69">
        <x:v>14</x:v>
      </x:c>
      <x:c r="H69" t="n">
        <x:v>711.13</x:v>
      </x:c>
    </x:row>
    <x:row r="70">
      <x:c r="A70">
        <x:v>67</x:v>
      </x:c>
      <x:c r="B70">
        <x:v>1000</x:v>
      </x:c>
      <x:c r="C70" t="s">
        <x:v>25</x:v>
      </x:c>
      <x:c r="D70">
        <x:f t="shared" si="8"/>
        <x:v>1e+57</x:v>
      </x:c>
      <x:c r="E70">
        <x:f t="shared" si="9"/>
        <x:v>1e+57</x:v>
      </x:c>
      <x:c r="F70">
        <x:f t="shared" si="7"/>
        <x:v>3837020900000</x:v>
      </x:c>
      <x:c r="G70">
        <x:v>14.2</x:v>
      </x:c>
      <x:c r="H70" t="n">
        <x:v>853.36</x:v>
      </x:c>
    </x:row>
    <x:row r="71">
      <x:c r="A71">
        <x:v>68</x:v>
      </x:c>
      <x:c r="B71">
        <x:v>1000</x:v>
      </x:c>
      <x:c r="C71" t="s">
        <x:v>26</x:v>
      </x:c>
      <x:c r="D71">
        <x:f t="shared" si="8"/>
        <x:v>1e+58</x:v>
      </x:c>
      <x:c r="E71">
        <x:f t="shared" si="9"/>
        <x:v>1e+58</x:v>
      </x:c>
      <x:c r="F71">
        <x:f t="shared" si="7"/>
        <x:v>5371829300000</x:v>
      </x:c>
      <x:c r="G71">
        <x:v>14.4</x:v>
      </x:c>
      <x:c r="H71" t="n">
        <x:v>1024.03</x:v>
      </x:c>
    </x:row>
    <x:row r="72">
      <x:c r="A72">
        <x:v>69</x:v>
      </x:c>
      <x:c r="B72">
        <x:v>1000</x:v>
      </x:c>
      <x:c r="C72" t="s">
        <x:v>27</x:v>
      </x:c>
      <x:c r="D72">
        <x:f t="shared" si="8"/>
        <x:v>1e+59</x:v>
      </x:c>
      <x:c r="E72">
        <x:f t="shared" si="9"/>
        <x:v>1e+59</x:v>
      </x:c>
      <x:c r="F72">
        <x:f t="shared" si="7"/>
        <x:v>7520561000000</x:v>
      </x:c>
      <x:c r="G72">
        <x:v>14.6</x:v>
      </x:c>
      <x:c r="H72" t="n">
        <x:v>1228.84</x:v>
      </x:c>
    </x:row>
    <x:row r="73">
      <x:c r="A73">
        <x:v>70</x:v>
      </x:c>
      <x:c r="B73">
        <x:v>1000</x:v>
      </x:c>
      <x:c r="C73" t="s">
        <x:v>28</x:v>
      </x:c>
      <x:c r="D73">
        <x:f t="shared" si="8"/>
        <x:v>1e+60</x:v>
      </x:c>
      <x:c r="E73">
        <x:f t="shared" si="9"/>
        <x:v>1e+60</x:v>
      </x:c>
      <x:c r="F73">
        <x:f t="shared" si="7"/>
        <x:v>10528785400000</x:v>
      </x:c>
      <x:c r="G73">
        <x:v>14.8</x:v>
      </x:c>
      <x:c r="H73" t="n">
        <x:v>1474.61</x:v>
      </x:c>
    </x:row>
  </x:sheetData>
  <x:pageMargins left="0.7" right="0.7" top="0.75" bottom="0.75" header="0.3" footer="0.3"/>
</x:worksheet>
</file>