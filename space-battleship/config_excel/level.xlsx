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G:\放置\"/>
    </mc:Choice>
  </mc:AlternateContent>
  <bookViews>
    <workbookView windowWidth="29868" windowHeight="13380" activeTab="0" firstSheet="0"/>
  </bookViews>
  <sheets>
    <sheet name="level" sheetId="2" r:id="rId2" state="visible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<sst xmlns="http://schemas.openxmlformats.org/spreadsheetml/2006/main" count="1139" uniqueCount="152">
  <si>
    <t>太空战舰是一个科幻飞行器不断攻击敌方飞行器的小游戏，横版，即时，有相关画面。玩家不需操作</t>
  </si>
  <si>
    <t>战舰会自动使用武器，攻击敌方飞行器，武器有各种参数，在武器表里定义</t>
  </si>
  <si>
    <t>在每个关卡，敌方飞行器每隔一段距离就会出现。全部击落后才能前进，战斗时无法移动。关卡最后出现一个敌方BOSS飞行器，击毁后通关</t>
  </si>
  <si>
    <t>敌方飞行器有各种参数，在怪物表里配置。怪物群负责整理一整群怪物，而关卡表将配置怪物群，用来辨别哪些敌方飞行器将出现在关卡里及出现在关卡的什么位置</t>
  </si>
  <si>
    <t>敌方飞行器被击毁后会掉落资源，鼠标划过可以拾取。如果一段时间没有拾取，则自动拾取，但会有损耗，损耗比例在config里配置</t>
  </si>
  <si>
    <t>飞行器初始武器为激光，激光会发射一道光束，攻击一个目标。</t>
  </si>
  <si>
    <t>第二个武器为导弹，导弹在通关第一关后获得，导弹会同时发射3枚导弹，锁定3个敌人（若不足则只发射对应数量的导弹）</t>
  </si>
  <si>
    <t>玩家可以选择任何一个已经通关过的关卡重新通关，或者无限循环该关卡。如果选择循环，则击败BOSS后就从这关开始重新前进</t>
  </si>
  <si>
    <t>具体配置如下，表格均从第四行开始是实际配置</t>
  </si>
  <si>
    <t>表格名</t>
  </si>
  <si>
    <t>level</t>
  </si>
  <si>
    <t>列名</t>
  </si>
  <si>
    <t>用途</t>
  </si>
  <si>
    <t>备注</t>
  </si>
  <si>
    <t>id</t>
  </si>
  <si>
    <t>关卡的id</t>
  </si>
  <si>
    <t>length</t>
  </si>
  <si>
    <t>关卡长度</t>
  </si>
  <si>
    <t>monGroup</t>
  </si>
  <si>
    <t>怪物群id</t>
  </si>
  <si>
    <t>格式为{id|比例，id|比例....}，id为monGroup表的id，比例表示在关卡长度的%多少处出现</t>
  </si>
  <si>
    <t>atkRatio</t>
  </si>
  <si>
    <t>攻击倍率</t>
  </si>
  <si>
    <t>敌方飞行器的器伤害*这个值（向上取整，没有小数）</t>
  </si>
  <si>
    <t>所有倍率，在关卡中由上一关的倍率线性成长到本关倍率。如第一关倍率是1，第二关倍率是10，则10%的长度时是2..以此类推</t>
  </si>
  <si>
    <t>lifeRatio</t>
  </si>
  <si>
    <t>生命倍率</t>
  </si>
  <si>
    <t>敌方飞行器的生命*这个值（向上取整，没有小数）</t>
  </si>
  <si>
    <t>resRatio</t>
  </si>
  <si>
    <t>资源倍率</t>
  </si>
  <si>
    <t>敌方飞行器摧毁时获得的资源乘该值</t>
  </si>
  <si>
    <t>equipment</t>
  </si>
  <si>
    <t>name</t>
  </si>
  <si>
    <t>武器名</t>
  </si>
  <si>
    <t>des</t>
  </si>
  <si>
    <t>武器说明</t>
  </si>
  <si>
    <t>武器等级</t>
  </si>
  <si>
    <t>dmg</t>
  </si>
  <si>
    <t>武器命中时的伤害</t>
  </si>
  <si>
    <t>cd</t>
  </si>
  <si>
    <t>武器发射需要的时间</t>
  </si>
  <si>
    <t>unlock</t>
  </si>
  <si>
    <t>对应level表id，通关对应id的关卡后解锁该武器</t>
  </si>
  <si>
    <t>res_1</t>
  </si>
  <si>
    <t>升级该武器需要的资源</t>
  </si>
  <si>
    <t>支持不做修改就能扩展，格式均为res_x。如res_2，res_3就表示第二种，第三种资源。资源为res表的id</t>
  </si>
  <si>
    <t>cost_1</t>
  </si>
  <si>
    <t>升到该等级需要的资源数量</t>
  </si>
  <si>
    <t>支持不做修改就能扩展，格式均为cost_x。如cost_2，cost_3就表示第二种，第三种资源消耗量。与res_x一一对应</t>
  </si>
  <si>
    <t>para1</t>
  </si>
  <si>
    <t>武器的额外参数。具体每个武器再定义，一般可参考des</t>
  </si>
  <si>
    <t>mon</t>
  </si>
  <si>
    <t>敌方飞行器id</t>
  </si>
  <si>
    <t>飞行器描述</t>
  </si>
  <si>
    <t>使用的武器，从equipment表中读出来，逻辑等都使用该武器表的</t>
  </si>
  <si>
    <t>dmgMultiple</t>
  </si>
  <si>
    <t>武器的伤害乘该值，这样计算完后的就是这个飞行器的伤害</t>
  </si>
  <si>
    <t>health</t>
  </si>
  <si>
    <t>飞行器生命</t>
  </si>
  <si>
    <t>res</t>
  </si>
  <si>
    <t>掉落的资源</t>
  </si>
  <si>
    <t>格式为｛id，数量，概率｝，id为res表的id，数量就是掉出来的数量，概率是被击毁时有多大概率掉落该资源</t>
  </si>
  <si>
    <t>size</t>
  </si>
  <si>
    <t>大小</t>
  </si>
  <si>
    <t>战场中占据的格子数</t>
  </si>
  <si>
    <t>敌方飞行器组id</t>
  </si>
  <si>
    <t>飞行器组描述</t>
  </si>
  <si>
    <t>格式为{id1，id2....｝</t>
  </si>
  <si>
    <t>战场从上到下一共是10个格子，这里的id是mon表的id，1-10分别对应10个格子的位置</t>
  </si>
  <si>
    <t>资源id</t>
  </si>
  <si>
    <t>资源名</t>
  </si>
  <si>
    <t>config</t>
  </si>
  <si>
    <t>这个配置的名字</t>
  </si>
  <si>
    <t>配置的描述</t>
  </si>
  <si>
    <t>para_1</t>
  </si>
  <si>
    <t>配置的参数</t>
  </si>
  <si>
    <t>支持可扩展，会以para_1,para_2等方式不断扩张</t>
  </si>
  <si>
    <t>如上</t>
  </si>
  <si>
    <t>{2|0.1，2|0.2，2|0.3，2|0.4，2|0.5，2|0.6，2|0.7，2|0.8，6|0.9}</t>
  </si>
  <si>
    <t>{2|0.1，5|0.2，2|0.3，5|0.4，2|0.5，5|0.6，2|0.7，5|0.8，6|0.9}</t>
  </si>
  <si>
    <t>{1|0.1，2|0.2，3|0.3，1|0.4，2|0.5，3|0.6，1|0.7，2|0.8，7|0.9}</t>
  </si>
  <si>
    <t>{4|0.1，5|0.2，4|0.3，5|0.4，4|0.5，5|0.6，4|0.7，5|0.8，6|0.9}</t>
  </si>
  <si>
    <t>{1|0.1，2|0.2，3|0.3，4|0.4，5|0.5，1|0.6，2|0.7，3|0.8，7|0.9}</t>
  </si>
  <si>
    <t>{2|0.1，5|0.2，2|0.3，5|0.4，2|0.5，5|0.6，2|0.7，5|0.8，7|0.9}</t>
  </si>
  <si>
    <t>{1|0.1，2|0.2，3|0.3，1|0.4，2|0.5，3|0.6，1|0.7，2|0.8，6|0.9}</t>
  </si>
  <si>
    <t>{4|0.1，5|0.2，4|0.3，5|0.4，4|0.5，5|0.6，4|0.7，5|0.8，7|0.9}</t>
  </si>
  <si>
    <t>{1|0.1，2|0.2，3|0.3，4|0.4，5|0.5，1|0.6，2|0.7，3|0.8，8|0.9}</t>
  </si>
  <si>
    <t>dmgtype</t>
  </si>
  <si>
    <t>res_2</t>
  </si>
  <si>
    <t>cost_2</t>
  </si>
  <si>
    <t>para2</t>
  </si>
  <si>
    <t>para3</t>
  </si>
  <si>
    <t>伤害类型，1为能量，2为物理。</t>
  </si>
  <si>
    <t>对应level表id，通关对应id的关卡后解锁该武器。不填则这行无意义</t>
  </si>
  <si>
    <t>armour</t>
  </si>
  <si>
    <t>这个是飞船的基础生命，如果没了，飞船就会爆炸！然后后退。额外参数para1是生命值，dmgtype表明护甲对这个类型的伤害有减伤</t>
  </si>
  <si>
    <t>shield</t>
  </si>
  <si>
    <t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t>
  </si>
  <si>
    <t>laser</t>
  </si>
  <si>
    <t>激光武器，发射一个光束攻击锁定目标，para1是飞行速度/S</t>
  </si>
  <si>
    <t>missile</t>
  </si>
  <si>
    <t>导弹武器，导弹会锁定多个敌人，锁定数量为para1定义。但敌人数量不足则只会发射敌人数量的导弹，不会多发。para2是导弹飞行速度</t>
  </si>
  <si>
    <t>导弹武器，导弹会锁定多个敌人，锁定数量为para1定义。但敌人数量不足则只会发射敌人数量的导弹，不会多发</t>
  </si>
  <si>
    <t>cannon</t>
  </si>
  <si>
    <t>火炮武器，与激光一样，发射一个炮弹攻击锁定目标敌人，para1是飞行速度/S</t>
  </si>
  <si>
    <t>laser_mon</t>
  </si>
  <si>
    <t>missile-mon</t>
  </si>
  <si>
    <t>cannon-mon</t>
  </si>
  <si>
    <t>armourType</t>
  </si>
  <si>
    <t>使用的武器，从equipment表中读出来，逻辑等都使用该武器表的,格式为｛name|数量，name|数量...}</t>
  </si>
  <si>
    <t>护甲类型</t>
  </si>
  <si>
    <t>1为能量，2为物理</t>
  </si>
  <si>
    <t>激光飞船</t>
  </si>
  <si>
    <t>｛laser_mon|1｝</t>
  </si>
  <si>
    <t>{1,10,0.5}</t>
  </si>
  <si>
    <t>火炮飞船</t>
  </si>
  <si>
    <t>｛cannon-mon|1｝</t>
  </si>
  <si>
    <t>激光飞船-弱</t>
  </si>
  <si>
    <t>{1,5,0.2}</t>
  </si>
  <si>
    <t>火炮飞船-弱</t>
  </si>
  <si>
    <t>BOSS-抵抗物理</t>
  </si>
  <si>
    <t>｛laser_mon|2,cannon-mon|2｝</t>
  </si>
  <si>
    <t>{2,1,1}</t>
  </si>
  <si>
    <t>BOSS-抵抗能量</t>
  </si>
  <si>
    <t>战场从上到下一共是10个格子，这里的id是mon表的id，1-10分别对应10个格子的位置，null表示此处无飞船｝</t>
  </si>
  <si>
    <t>｛null，null，null，null，1，1，null，null，null，null}</t>
  </si>
  <si>
    <t>｛null，null，null，null，2，2，null，null，null，null}</t>
  </si>
  <si>
    <t>基础飞船组</t>
  </si>
  <si>
    <t>｛null，null，null，null，1，2，null，null，null，null}</t>
  </si>
  <si>
    <t>激光飞船-弱*6</t>
  </si>
  <si>
    <t>｛null，null，3，3，3，3，3，3，null，null}</t>
  </si>
  <si>
    <t>火炮飞船-弱*6</t>
  </si>
  <si>
    <t>｛null，null，4，4，4，4，4，4，null，null}</t>
  </si>
  <si>
    <t>BOSS飞船-抵抗物理</t>
  </si>
  <si>
    <t>｛null，null，null，null，5，null，null，null，null，null}</t>
  </si>
  <si>
    <t>BOSS飞船-抵抗能量</t>
  </si>
  <si>
    <t>｛null，null，null，null，6，null，null，null，null，null}</t>
  </si>
  <si>
    <t>BOSS飞船-双BOSS</t>
  </si>
  <si>
    <t>｛null，null，null，5，null，null，6，null，null，null}</t>
  </si>
  <si>
    <t>铁</t>
  </si>
  <si>
    <t>铝</t>
  </si>
  <si>
    <t>startEquip</t>
  </si>
  <si>
    <t>飞船初始具有的装备，格式为name,name，equipment表的名字。默认为1级。</t>
  </si>
  <si>
    <t>armour,laser</t>
  </si>
  <si>
    <t>dmgReduce</t>
  </si>
  <si>
    <t>护甲类型对应时，减少的伤害</t>
  </si>
  <si>
    <t>movement</t>
  </si>
  <si>
    <t>飞船的移动速度，单位是秒</t>
  </si>
  <si>
    <t>autoCollectReduce</t>
  </si>
  <si>
    <t>自动拾取时的损耗</t>
  </si>
  <si>
    <t>backRange</t>
  </si>
  <si>
    <t>死亡时后退距离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</si>
</sst>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3">
    <xf numFmtId="0" fontId="0" fillId="0" borderId="0" xfId="0" applyAlignment="1">
      <alignment vertical="center"/>
    </xf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'1.0' encoding='utf-8'?>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2" Type="http://schemas.openxmlformats.org/officeDocument/2006/relationships/worksheet" Target="worksheets/sheet2.xml"/><Relationship Id="rId1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3"/>
  <sheetViews>
    <sheetView tabSelected="1" topLeftCell="A40" workbookViewId="0">
      <selection activeCell="C79" sqref="C79"/>
    </sheetView>
  </sheetViews>
  <sheetFormatPr defaultColWidth="9" defaultRowHeight="14.4" outlineLevelCol="5"/>
  <cols>
    <col min="3" max="3" width="78.2222222222222" customWidth="1"/>
  </cols>
  <sheetData>
    <row r="1" spans="1:6">
      <c r="A1" t="s">
        <v>14</v>
      </c>
      <c r="B1" t="s">
        <v>16</v>
      </c>
      <c r="C1" s="1" t="s">
        <v>18</v>
      </c>
      <c r="D1" t="s">
        <v>21</v>
      </c>
      <c r="E1" t="s">
        <v>25</v>
      </c>
      <c r="F1" t="s">
        <v>28</v>
      </c>
    </row>
    <row r="2" spans="1:6">
      <c r="A2" t="s">
        <v>15</v>
      </c>
      <c r="B2" t="s">
        <v>17</v>
      </c>
      <c r="C2" t="s">
        <v>19</v>
      </c>
      <c r="D2" t="s">
        <v>22</v>
      </c>
      <c r="E2" t="s">
        <v>26</v>
      </c>
      <c r="F2" t="s">
        <v>29</v>
      </c>
    </row>
    <row r="3" spans="1:6">
      <c r="A3" t="s">
        <v>77</v>
      </c>
      <c r="B3" t="s">
        <v>77</v>
      </c>
      <c r="C3" t="s">
        <v>20</v>
      </c>
      <c r="D3" t="s">
        <v>23</v>
      </c>
      <c r="E3" t="s">
        <v>27</v>
      </c>
      <c r="F3" t="s">
        <v>30</v>
      </c>
    </row>
    <row r="4" spans="1:6">
      <c r="A4">
        <v>1</v>
      </c>
      <c r="B4">
        <v>1000</v>
      </c>
      <c r="C4" t="s">
        <v>78</v>
      </c>
      <c r="D4">
        <v>1</v>
      </c>
      <c r="E4">
        <f>D4</f>
        <v>1</v>
      </c>
      <c r="F4">
        <f t="shared" ref="F4:F67" si="0">E4</f>
        <v>1</v>
      </c>
    </row>
    <row r="5" spans="1:6">
      <c r="A5">
        <v>2</v>
      </c>
      <c r="B5">
        <v>1000</v>
      </c>
      <c r="C5" t="s">
        <v>79</v>
      </c>
      <c r="D5">
        <f>ROUND(D4*1.17,2)</f>
        <v>1.17</v>
      </c>
      <c r="E5">
        <f t="shared" ref="E5:E68" si="1">D5</f>
        <v>1.17</v>
      </c>
      <c r="F5">
        <f t="shared" si="0"/>
        <v>1.17</v>
      </c>
    </row>
    <row r="6" spans="1:6">
      <c r="A6">
        <v>3</v>
      </c>
      <c r="B6">
        <v>1000</v>
      </c>
      <c r="C6" t="s">
        <v>80</v>
      </c>
      <c r="D6">
        <f t="shared" ref="D6:D69" si="2">ROUND(D5*1.17,2)</f>
        <v>1.37</v>
      </c>
      <c r="E6">
        <f t="shared" si="1"/>
        <v>1.37</v>
      </c>
      <c r="F6">
        <f t="shared" si="0"/>
        <v>1.37</v>
      </c>
    </row>
    <row r="7" spans="1:6">
      <c r="A7">
        <v>4</v>
      </c>
      <c r="B7">
        <v>1000</v>
      </c>
      <c r="C7" t="s">
        <v>81</v>
      </c>
      <c r="D7">
        <f t="shared" si="2"/>
        <v>1.6</v>
      </c>
      <c r="E7">
        <f t="shared" si="1"/>
        <v>1.6</v>
      </c>
      <c r="F7">
        <f t="shared" si="0"/>
        <v>1.6</v>
      </c>
    </row>
    <row r="8" spans="1:6">
      <c r="A8">
        <v>5</v>
      </c>
      <c r="B8">
        <v>1000</v>
      </c>
      <c r="C8" t="s">
        <v>82</v>
      </c>
      <c r="D8">
        <f t="shared" si="2"/>
        <v>1.87</v>
      </c>
      <c r="E8">
        <f t="shared" si="1"/>
        <v>1.87</v>
      </c>
      <c r="F8">
        <f t="shared" si="0"/>
        <v>1.87</v>
      </c>
    </row>
    <row r="9" spans="1:6">
      <c r="A9">
        <v>6</v>
      </c>
      <c r="B9">
        <v>1000</v>
      </c>
      <c r="C9" t="s">
        <v>78</v>
      </c>
      <c r="D9">
        <f t="shared" si="2"/>
        <v>2.19</v>
      </c>
      <c r="E9">
        <f t="shared" si="1"/>
        <v>2.19</v>
      </c>
      <c r="F9">
        <f t="shared" si="0"/>
        <v>2.19</v>
      </c>
    </row>
    <row r="10" spans="1:6">
      <c r="A10">
        <v>7</v>
      </c>
      <c r="B10">
        <v>1000</v>
      </c>
      <c r="C10" t="s">
        <v>83</v>
      </c>
      <c r="D10">
        <f t="shared" si="2"/>
        <v>2.56</v>
      </c>
      <c r="E10">
        <f t="shared" si="1"/>
        <v>2.56</v>
      </c>
      <c r="F10">
        <f t="shared" si="0"/>
        <v>2.56</v>
      </c>
    </row>
    <row r="11" spans="1:6">
      <c r="A11">
        <v>8</v>
      </c>
      <c r="B11">
        <v>1000</v>
      </c>
      <c r="C11" t="s">
        <v>84</v>
      </c>
      <c r="D11">
        <f t="shared" si="2"/>
        <v>3</v>
      </c>
      <c r="E11">
        <f t="shared" si="1"/>
        <v>3</v>
      </c>
      <c r="F11">
        <f t="shared" si="0"/>
        <v>3</v>
      </c>
    </row>
    <row r="12" spans="1:6">
      <c r="A12">
        <v>9</v>
      </c>
      <c r="B12">
        <v>1000</v>
      </c>
      <c r="C12" t="s">
        <v>85</v>
      </c>
      <c r="D12">
        <f t="shared" si="2"/>
        <v>3.51</v>
      </c>
      <c r="E12">
        <f t="shared" si="1"/>
        <v>3.51</v>
      </c>
      <c r="F12">
        <f t="shared" si="0"/>
        <v>3.51</v>
      </c>
    </row>
    <row r="13" spans="1:6">
      <c r="A13">
        <v>10</v>
      </c>
      <c r="B13">
        <v>1000</v>
      </c>
      <c r="C13" t="s">
        <v>86</v>
      </c>
      <c r="D13">
        <f t="shared" si="2"/>
        <v>4.11</v>
      </c>
      <c r="E13">
        <f t="shared" si="1"/>
        <v>4.11</v>
      </c>
      <c r="F13">
        <f t="shared" si="0"/>
        <v>4.11</v>
      </c>
    </row>
    <row r="14" spans="1:6">
      <c r="A14">
        <v>11</v>
      </c>
      <c r="B14">
        <v>1000</v>
      </c>
      <c r="C14" t="s">
        <v>78</v>
      </c>
      <c r="D14">
        <f t="shared" si="2"/>
        <v>4.81</v>
      </c>
      <c r="E14">
        <f t="shared" si="1"/>
        <v>4.81</v>
      </c>
      <c r="F14">
        <f t="shared" si="0"/>
        <v>4.81</v>
      </c>
    </row>
    <row r="15" spans="1:6">
      <c r="A15">
        <v>12</v>
      </c>
      <c r="B15">
        <v>1000</v>
      </c>
      <c r="C15" t="s">
        <v>79</v>
      </c>
      <c r="D15">
        <f t="shared" si="2"/>
        <v>5.63</v>
      </c>
      <c r="E15">
        <f t="shared" si="1"/>
        <v>5.63</v>
      </c>
      <c r="F15">
        <f t="shared" si="0"/>
        <v>5.63</v>
      </c>
    </row>
    <row r="16" spans="1:6">
      <c r="A16">
        <v>13</v>
      </c>
      <c r="B16">
        <v>1000</v>
      </c>
      <c r="C16" t="s">
        <v>80</v>
      </c>
      <c r="D16">
        <f t="shared" si="2"/>
        <v>6.59</v>
      </c>
      <c r="E16">
        <f t="shared" si="1"/>
        <v>6.59</v>
      </c>
      <c r="F16">
        <f t="shared" si="0"/>
        <v>6.59</v>
      </c>
    </row>
    <row r="17" spans="1:6">
      <c r="A17">
        <v>14</v>
      </c>
      <c r="B17">
        <v>1000</v>
      </c>
      <c r="C17" t="s">
        <v>81</v>
      </c>
      <c r="D17">
        <f t="shared" si="2"/>
        <v>7.71</v>
      </c>
      <c r="E17">
        <f t="shared" si="1"/>
        <v>7.71</v>
      </c>
      <c r="F17">
        <f t="shared" si="0"/>
        <v>7.71</v>
      </c>
    </row>
    <row r="18" spans="1:6">
      <c r="A18">
        <v>15</v>
      </c>
      <c r="B18">
        <v>1000</v>
      </c>
      <c r="C18" t="s">
        <v>82</v>
      </c>
      <c r="D18">
        <f t="shared" si="2"/>
        <v>9.02</v>
      </c>
      <c r="E18">
        <f t="shared" si="1"/>
        <v>9.02</v>
      </c>
      <c r="F18">
        <f t="shared" si="0"/>
        <v>9.02</v>
      </c>
    </row>
    <row r="19" spans="1:6">
      <c r="A19">
        <v>16</v>
      </c>
      <c r="B19">
        <v>1000</v>
      </c>
      <c r="C19" t="s">
        <v>78</v>
      </c>
      <c r="D19">
        <f t="shared" si="2"/>
        <v>10.55</v>
      </c>
      <c r="E19">
        <f t="shared" si="1"/>
        <v>10.55</v>
      </c>
      <c r="F19">
        <f t="shared" si="0"/>
        <v>10.55</v>
      </c>
    </row>
    <row r="20" spans="1:6">
      <c r="A20">
        <v>17</v>
      </c>
      <c r="B20">
        <v>1000</v>
      </c>
      <c r="C20" t="s">
        <v>83</v>
      </c>
      <c r="D20">
        <f t="shared" si="2"/>
        <v>12.34</v>
      </c>
      <c r="E20">
        <f t="shared" si="1"/>
        <v>12.34</v>
      </c>
      <c r="F20">
        <f t="shared" si="0"/>
        <v>12.34</v>
      </c>
    </row>
    <row r="21" spans="1:6">
      <c r="A21">
        <v>18</v>
      </c>
      <c r="B21">
        <v>1000</v>
      </c>
      <c r="C21" t="s">
        <v>84</v>
      </c>
      <c r="D21">
        <f t="shared" si="2"/>
        <v>14.44</v>
      </c>
      <c r="E21">
        <f t="shared" si="1"/>
        <v>14.44</v>
      </c>
      <c r="F21">
        <f t="shared" si="0"/>
        <v>14.44</v>
      </c>
    </row>
    <row r="22" spans="1:6">
      <c r="A22">
        <v>19</v>
      </c>
      <c r="B22">
        <v>1000</v>
      </c>
      <c r="C22" t="s">
        <v>85</v>
      </c>
      <c r="D22">
        <f t="shared" si="2"/>
        <v>16.89</v>
      </c>
      <c r="E22">
        <f t="shared" si="1"/>
        <v>16.89</v>
      </c>
      <c r="F22">
        <f t="shared" si="0"/>
        <v>16.89</v>
      </c>
    </row>
    <row r="23" spans="1:6">
      <c r="A23">
        <v>20</v>
      </c>
      <c r="B23">
        <v>1000</v>
      </c>
      <c r="C23" t="s">
        <v>86</v>
      </c>
      <c r="D23">
        <f t="shared" si="2"/>
        <v>19.76</v>
      </c>
      <c r="E23">
        <f t="shared" si="1"/>
        <v>19.76</v>
      </c>
      <c r="F23">
        <f t="shared" si="0"/>
        <v>19.76</v>
      </c>
    </row>
    <row r="24" spans="1:6">
      <c r="A24">
        <v>21</v>
      </c>
      <c r="B24">
        <v>1000</v>
      </c>
      <c r="C24" t="s">
        <v>78</v>
      </c>
      <c r="D24">
        <f t="shared" si="2"/>
        <v>23.12</v>
      </c>
      <c r="E24">
        <f t="shared" si="1"/>
        <v>23.12</v>
      </c>
      <c r="F24">
        <f t="shared" si="0"/>
        <v>23.12</v>
      </c>
    </row>
    <row r="25" spans="1:6">
      <c r="A25">
        <v>22</v>
      </c>
      <c r="B25">
        <v>1000</v>
      </c>
      <c r="C25" t="s">
        <v>79</v>
      </c>
      <c r="D25">
        <f t="shared" si="2"/>
        <v>27.05</v>
      </c>
      <c r="E25">
        <f t="shared" si="1"/>
        <v>27.05</v>
      </c>
      <c r="F25">
        <f t="shared" si="0"/>
        <v>27.05</v>
      </c>
    </row>
    <row r="26" spans="1:6">
      <c r="A26">
        <v>23</v>
      </c>
      <c r="B26">
        <v>1000</v>
      </c>
      <c r="C26" t="s">
        <v>80</v>
      </c>
      <c r="D26">
        <f t="shared" si="2"/>
        <v>31.65</v>
      </c>
      <c r="E26">
        <f t="shared" si="1"/>
        <v>31.65</v>
      </c>
      <c r="F26">
        <f t="shared" si="0"/>
        <v>31.65</v>
      </c>
    </row>
    <row r="27" spans="1:6">
      <c r="A27">
        <v>24</v>
      </c>
      <c r="B27">
        <v>1000</v>
      </c>
      <c r="C27" t="s">
        <v>81</v>
      </c>
      <c r="D27">
        <f t="shared" si="2"/>
        <v>37.03</v>
      </c>
      <c r="E27">
        <f t="shared" si="1"/>
        <v>37.03</v>
      </c>
      <c r="F27">
        <f t="shared" si="0"/>
        <v>37.03</v>
      </c>
    </row>
    <row r="28" spans="1:6">
      <c r="A28">
        <v>25</v>
      </c>
      <c r="B28">
        <v>1000</v>
      </c>
      <c r="C28" t="s">
        <v>82</v>
      </c>
      <c r="D28">
        <f t="shared" si="2"/>
        <v>43.33</v>
      </c>
      <c r="E28">
        <f t="shared" si="1"/>
        <v>43.33</v>
      </c>
      <c r="F28">
        <f t="shared" si="0"/>
        <v>43.33</v>
      </c>
    </row>
    <row r="29" spans="1:6">
      <c r="A29">
        <v>26</v>
      </c>
      <c r="B29">
        <v>1000</v>
      </c>
      <c r="C29" t="s">
        <v>78</v>
      </c>
      <c r="D29">
        <f t="shared" si="2"/>
        <v>50.7</v>
      </c>
      <c r="E29">
        <f t="shared" si="1"/>
        <v>50.7</v>
      </c>
      <c r="F29">
        <f t="shared" si="0"/>
        <v>50.7</v>
      </c>
    </row>
    <row r="30" spans="1:6">
      <c r="A30">
        <v>27</v>
      </c>
      <c r="B30">
        <v>1000</v>
      </c>
      <c r="C30" t="s">
        <v>83</v>
      </c>
      <c r="D30">
        <f t="shared" si="2"/>
        <v>59.32</v>
      </c>
      <c r="E30">
        <f t="shared" si="1"/>
        <v>59.32</v>
      </c>
      <c r="F30">
        <f t="shared" si="0"/>
        <v>59.32</v>
      </c>
    </row>
    <row r="31" spans="1:6">
      <c r="A31">
        <v>28</v>
      </c>
      <c r="B31">
        <v>1000</v>
      </c>
      <c r="C31" t="s">
        <v>84</v>
      </c>
      <c r="D31">
        <f t="shared" si="2"/>
        <v>69.4</v>
      </c>
      <c r="E31">
        <f t="shared" si="1"/>
        <v>69.4</v>
      </c>
      <c r="F31">
        <f t="shared" si="0"/>
        <v>69.4</v>
      </c>
    </row>
    <row r="32" spans="1:6">
      <c r="A32">
        <v>29</v>
      </c>
      <c r="B32">
        <v>1000</v>
      </c>
      <c r="C32" t="s">
        <v>85</v>
      </c>
      <c r="D32">
        <f t="shared" si="2"/>
        <v>81.2</v>
      </c>
      <c r="E32">
        <f t="shared" si="1"/>
        <v>81.2</v>
      </c>
      <c r="F32">
        <f t="shared" si="0"/>
        <v>81.2</v>
      </c>
    </row>
    <row r="33" spans="1:6">
      <c r="A33">
        <v>30</v>
      </c>
      <c r="B33">
        <v>1000</v>
      </c>
      <c r="C33" t="s">
        <v>86</v>
      </c>
      <c r="D33">
        <f t="shared" si="2"/>
        <v>95</v>
      </c>
      <c r="E33">
        <f t="shared" si="1"/>
        <v>95</v>
      </c>
      <c r="F33">
        <f t="shared" si="0"/>
        <v>95</v>
      </c>
    </row>
    <row r="34" spans="1:6">
      <c r="A34">
        <v>31</v>
      </c>
      <c r="B34">
        <v>1000</v>
      </c>
      <c r="C34" t="s">
        <v>78</v>
      </c>
      <c r="D34">
        <f t="shared" si="2"/>
        <v>111.15</v>
      </c>
      <c r="E34">
        <f t="shared" si="1"/>
        <v>111.15</v>
      </c>
      <c r="F34">
        <f t="shared" si="0"/>
        <v>111.15</v>
      </c>
    </row>
    <row r="35" spans="1:6">
      <c r="A35">
        <v>32</v>
      </c>
      <c r="B35">
        <v>1000</v>
      </c>
      <c r="C35" t="s">
        <v>79</v>
      </c>
      <c r="D35">
        <f t="shared" si="2"/>
        <v>130.05</v>
      </c>
      <c r="E35">
        <f t="shared" si="1"/>
        <v>130.05</v>
      </c>
      <c r="F35">
        <f t="shared" si="0"/>
        <v>130.05</v>
      </c>
    </row>
    <row r="36" spans="1:6">
      <c r="A36">
        <v>33</v>
      </c>
      <c r="B36">
        <v>1000</v>
      </c>
      <c r="C36" t="s">
        <v>80</v>
      </c>
      <c r="D36">
        <f t="shared" si="2"/>
        <v>152.16</v>
      </c>
      <c r="E36">
        <f t="shared" si="1"/>
        <v>152.16</v>
      </c>
      <c r="F36">
        <f t="shared" si="0"/>
        <v>152.16</v>
      </c>
    </row>
    <row r="37" spans="1:6">
      <c r="A37">
        <v>34</v>
      </c>
      <c r="B37">
        <v>1000</v>
      </c>
      <c r="C37" t="s">
        <v>81</v>
      </c>
      <c r="D37">
        <f t="shared" si="2"/>
        <v>178.03</v>
      </c>
      <c r="E37">
        <f t="shared" si="1"/>
        <v>178.03</v>
      </c>
      <c r="F37">
        <f t="shared" si="0"/>
        <v>178.03</v>
      </c>
    </row>
    <row r="38" spans="1:6">
      <c r="A38">
        <v>35</v>
      </c>
      <c r="B38">
        <v>1000</v>
      </c>
      <c r="C38" t="s">
        <v>82</v>
      </c>
      <c r="D38">
        <f t="shared" si="2"/>
        <v>208.3</v>
      </c>
      <c r="E38">
        <f t="shared" si="1"/>
        <v>208.3</v>
      </c>
      <c r="F38">
        <f t="shared" si="0"/>
        <v>208.3</v>
      </c>
    </row>
    <row r="39" spans="1:6">
      <c r="A39">
        <v>36</v>
      </c>
      <c r="B39">
        <v>1000</v>
      </c>
      <c r="C39" t="s">
        <v>78</v>
      </c>
      <c r="D39">
        <f t="shared" si="2"/>
        <v>243.71</v>
      </c>
      <c r="E39">
        <f t="shared" si="1"/>
        <v>243.71</v>
      </c>
      <c r="F39">
        <f t="shared" si="0"/>
        <v>243.71</v>
      </c>
    </row>
    <row r="40" spans="1:6">
      <c r="A40">
        <v>37</v>
      </c>
      <c r="B40">
        <v>1000</v>
      </c>
      <c r="C40" t="s">
        <v>83</v>
      </c>
      <c r="D40">
        <f t="shared" si="2"/>
        <v>285.14</v>
      </c>
      <c r="E40">
        <f t="shared" si="1"/>
        <v>285.14</v>
      </c>
      <c r="F40">
        <f t="shared" si="0"/>
        <v>285.14</v>
      </c>
    </row>
    <row r="41" spans="1:6">
      <c r="A41">
        <v>38</v>
      </c>
      <c r="B41">
        <v>1000</v>
      </c>
      <c r="C41" t="s">
        <v>84</v>
      </c>
      <c r="D41">
        <f t="shared" si="2"/>
        <v>333.61</v>
      </c>
      <c r="E41">
        <f t="shared" si="1"/>
        <v>333.61</v>
      </c>
      <c r="F41">
        <f t="shared" si="0"/>
        <v>333.61</v>
      </c>
    </row>
    <row r="42" spans="1:6">
      <c r="A42">
        <v>39</v>
      </c>
      <c r="B42">
        <v>1000</v>
      </c>
      <c r="C42" t="s">
        <v>85</v>
      </c>
      <c r="D42">
        <f t="shared" si="2"/>
        <v>390.32</v>
      </c>
      <c r="E42">
        <f t="shared" si="1"/>
        <v>390.32</v>
      </c>
      <c r="F42">
        <f t="shared" si="0"/>
        <v>390.32</v>
      </c>
    </row>
    <row r="43" spans="1:6">
      <c r="A43">
        <v>40</v>
      </c>
      <c r="B43">
        <v>1000</v>
      </c>
      <c r="C43" t="s">
        <v>86</v>
      </c>
      <c r="D43">
        <f t="shared" si="2"/>
        <v>456.67</v>
      </c>
      <c r="E43">
        <f t="shared" si="1"/>
        <v>456.67</v>
      </c>
      <c r="F43">
        <f t="shared" si="0"/>
        <v>456.67</v>
      </c>
    </row>
    <row r="44" spans="1:6">
      <c r="A44">
        <v>41</v>
      </c>
      <c r="B44">
        <v>1000</v>
      </c>
      <c r="C44" t="s">
        <v>78</v>
      </c>
      <c r="D44">
        <f t="shared" si="2"/>
        <v>534.3</v>
      </c>
      <c r="E44">
        <f t="shared" si="1"/>
        <v>534.3</v>
      </c>
      <c r="F44">
        <f t="shared" si="0"/>
        <v>534.3</v>
      </c>
    </row>
    <row r="45" spans="1:6">
      <c r="A45">
        <v>42</v>
      </c>
      <c r="B45">
        <v>1000</v>
      </c>
      <c r="C45" t="s">
        <v>79</v>
      </c>
      <c r="D45">
        <f t="shared" si="2"/>
        <v>625.13</v>
      </c>
      <c r="E45">
        <f t="shared" si="1"/>
        <v>625.13</v>
      </c>
      <c r="F45">
        <f t="shared" si="0"/>
        <v>625.13</v>
      </c>
    </row>
    <row r="46" spans="1:6">
      <c r="A46">
        <v>43</v>
      </c>
      <c r="B46">
        <v>1000</v>
      </c>
      <c r="C46" t="s">
        <v>80</v>
      </c>
      <c r="D46">
        <f t="shared" si="2"/>
        <v>731.4</v>
      </c>
      <c r="E46">
        <f t="shared" si="1"/>
        <v>731.4</v>
      </c>
      <c r="F46">
        <f t="shared" si="0"/>
        <v>731.4</v>
      </c>
    </row>
    <row r="47" spans="1:6">
      <c r="A47">
        <v>44</v>
      </c>
      <c r="B47">
        <v>1000</v>
      </c>
      <c r="C47" t="s">
        <v>81</v>
      </c>
      <c r="D47">
        <f t="shared" si="2"/>
        <v>855.74</v>
      </c>
      <c r="E47">
        <f t="shared" si="1"/>
        <v>855.74</v>
      </c>
      <c r="F47">
        <f t="shared" si="0"/>
        <v>855.74</v>
      </c>
    </row>
    <row r="48" spans="1:6">
      <c r="A48">
        <v>45</v>
      </c>
      <c r="B48">
        <v>1000</v>
      </c>
      <c r="C48" t="s">
        <v>82</v>
      </c>
      <c r="D48">
        <f t="shared" si="2"/>
        <v>1001.22</v>
      </c>
      <c r="E48">
        <f t="shared" si="1"/>
        <v>1001.22</v>
      </c>
      <c r="F48">
        <f t="shared" si="0"/>
        <v>1001.22</v>
      </c>
    </row>
    <row r="49" spans="1:6">
      <c r="A49">
        <v>46</v>
      </c>
      <c r="B49">
        <v>1000</v>
      </c>
      <c r="C49" t="s">
        <v>78</v>
      </c>
      <c r="D49">
        <f t="shared" si="2"/>
        <v>1171.43</v>
      </c>
      <c r="E49">
        <f t="shared" si="1"/>
        <v>1171.43</v>
      </c>
      <c r="F49">
        <f t="shared" si="0"/>
        <v>1171.43</v>
      </c>
    </row>
    <row r="50" spans="1:6">
      <c r="A50">
        <v>47</v>
      </c>
      <c r="B50">
        <v>1000</v>
      </c>
      <c r="C50" t="s">
        <v>83</v>
      </c>
      <c r="D50">
        <f t="shared" si="2"/>
        <v>1370.57</v>
      </c>
      <c r="E50">
        <f t="shared" si="1"/>
        <v>1370.57</v>
      </c>
      <c r="F50">
        <f t="shared" si="0"/>
        <v>1370.57</v>
      </c>
    </row>
    <row r="51" spans="1:6">
      <c r="A51">
        <v>48</v>
      </c>
      <c r="B51">
        <v>1000</v>
      </c>
      <c r="C51" t="s">
        <v>84</v>
      </c>
      <c r="D51">
        <f t="shared" si="2"/>
        <v>1603.57</v>
      </c>
      <c r="E51">
        <f t="shared" si="1"/>
        <v>1603.57</v>
      </c>
      <c r="F51">
        <f t="shared" si="0"/>
        <v>1603.57</v>
      </c>
    </row>
    <row r="52" spans="1:6">
      <c r="A52">
        <v>49</v>
      </c>
      <c r="B52">
        <v>1000</v>
      </c>
      <c r="C52" t="s">
        <v>85</v>
      </c>
      <c r="D52">
        <f t="shared" si="2"/>
        <v>1876.18</v>
      </c>
      <c r="E52">
        <f t="shared" si="1"/>
        <v>1876.18</v>
      </c>
      <c r="F52">
        <f t="shared" si="0"/>
        <v>1876.18</v>
      </c>
    </row>
    <row r="53" spans="1:6">
      <c r="A53">
        <v>50</v>
      </c>
      <c r="B53">
        <v>1000</v>
      </c>
      <c r="C53" t="s">
        <v>86</v>
      </c>
      <c r="D53">
        <f t="shared" si="2"/>
        <v>2195.13</v>
      </c>
      <c r="E53">
        <f t="shared" si="1"/>
        <v>2195.13</v>
      </c>
      <c r="F53">
        <f t="shared" si="0"/>
        <v>2195.13</v>
      </c>
    </row>
    <row r="54" spans="1:6">
      <c r="A54">
        <v>51</v>
      </c>
      <c r="B54">
        <v>1000</v>
      </c>
      <c r="C54" t="s">
        <v>78</v>
      </c>
      <c r="D54">
        <f t="shared" si="2"/>
        <v>2568.3</v>
      </c>
      <c r="E54">
        <f t="shared" si="1"/>
        <v>2568.3</v>
      </c>
      <c r="F54">
        <f t="shared" si="0"/>
        <v>2568.3</v>
      </c>
    </row>
    <row r="55" spans="1:6">
      <c r="A55">
        <v>52</v>
      </c>
      <c r="B55">
        <v>1000</v>
      </c>
      <c r="C55" t="s">
        <v>79</v>
      </c>
      <c r="D55">
        <f t="shared" si="2"/>
        <v>3004.91</v>
      </c>
      <c r="E55">
        <f t="shared" si="1"/>
        <v>3004.91</v>
      </c>
      <c r="F55">
        <f t="shared" si="0"/>
        <v>3004.91</v>
      </c>
    </row>
    <row r="56" spans="1:6">
      <c r="A56">
        <v>53</v>
      </c>
      <c r="B56">
        <v>1000</v>
      </c>
      <c r="C56" t="s">
        <v>80</v>
      </c>
      <c r="D56">
        <f t="shared" si="2"/>
        <v>3515.74</v>
      </c>
      <c r="E56">
        <f t="shared" si="1"/>
        <v>3515.74</v>
      </c>
      <c r="F56">
        <f t="shared" si="0"/>
        <v>3515.74</v>
      </c>
    </row>
    <row r="57" spans="1:6">
      <c r="A57">
        <v>54</v>
      </c>
      <c r="B57">
        <v>1000</v>
      </c>
      <c r="C57" t="s">
        <v>81</v>
      </c>
      <c r="D57">
        <f t="shared" si="2"/>
        <v>4113.42</v>
      </c>
      <c r="E57">
        <f t="shared" si="1"/>
        <v>4113.42</v>
      </c>
      <c r="F57">
        <f t="shared" si="0"/>
        <v>4113.42</v>
      </c>
    </row>
    <row r="58" spans="1:6">
      <c r="A58">
        <v>55</v>
      </c>
      <c r="B58">
        <v>1000</v>
      </c>
      <c r="C58" t="s">
        <v>82</v>
      </c>
      <c r="D58">
        <f t="shared" si="2"/>
        <v>4812.7</v>
      </c>
      <c r="E58">
        <f t="shared" si="1"/>
        <v>4812.7</v>
      </c>
      <c r="F58">
        <f t="shared" si="0"/>
        <v>4812.7</v>
      </c>
    </row>
    <row r="59" spans="1:6">
      <c r="A59">
        <v>56</v>
      </c>
      <c r="B59">
        <v>1000</v>
      </c>
      <c r="C59" t="s">
        <v>78</v>
      </c>
      <c r="D59">
        <f t="shared" si="2"/>
        <v>5630.86</v>
      </c>
      <c r="E59">
        <f t="shared" si="1"/>
        <v>5630.86</v>
      </c>
      <c r="F59">
        <f t="shared" si="0"/>
        <v>5630.86</v>
      </c>
    </row>
    <row r="60" spans="1:6">
      <c r="A60">
        <v>57</v>
      </c>
      <c r="B60">
        <v>1000</v>
      </c>
      <c r="C60" t="s">
        <v>83</v>
      </c>
      <c r="D60">
        <f t="shared" si="2"/>
        <v>6588.11</v>
      </c>
      <c r="E60">
        <f t="shared" si="1"/>
        <v>6588.11</v>
      </c>
      <c r="F60">
        <f t="shared" si="0"/>
        <v>6588.11</v>
      </c>
    </row>
    <row r="61" spans="1:6">
      <c r="A61">
        <v>58</v>
      </c>
      <c r="B61">
        <v>1000</v>
      </c>
      <c r="C61" t="s">
        <v>84</v>
      </c>
      <c r="D61">
        <f t="shared" si="2"/>
        <v>7708.09</v>
      </c>
      <c r="E61">
        <f t="shared" si="1"/>
        <v>7708.09</v>
      </c>
      <c r="F61">
        <f t="shared" si="0"/>
        <v>7708.09</v>
      </c>
    </row>
    <row r="62" spans="1:6">
      <c r="A62">
        <v>59</v>
      </c>
      <c r="B62">
        <v>1000</v>
      </c>
      <c r="C62" t="s">
        <v>85</v>
      </c>
      <c r="D62">
        <f t="shared" si="2"/>
        <v>9018.47</v>
      </c>
      <c r="E62">
        <f t="shared" si="1"/>
        <v>9018.47</v>
      </c>
      <c r="F62">
        <f t="shared" si="0"/>
        <v>9018.47</v>
      </c>
    </row>
    <row r="63" spans="1:6">
      <c r="A63">
        <v>60</v>
      </c>
      <c r="B63">
        <v>1000</v>
      </c>
      <c r="C63" t="s">
        <v>86</v>
      </c>
      <c r="D63">
        <f t="shared" si="2"/>
        <v>10551.61</v>
      </c>
      <c r="E63">
        <f t="shared" si="1"/>
        <v>10551.61</v>
      </c>
      <c r="F63">
        <f t="shared" si="0"/>
        <v>10551.61</v>
      </c>
    </row>
    <row r="64" spans="1:6">
      <c r="A64">
        <v>61</v>
      </c>
      <c r="B64">
        <v>1000</v>
      </c>
      <c r="C64" t="s">
        <v>78</v>
      </c>
      <c r="D64">
        <f t="shared" si="2"/>
        <v>12345.38</v>
      </c>
      <c r="E64">
        <f t="shared" si="1"/>
        <v>12345.38</v>
      </c>
      <c r="F64">
        <f t="shared" si="0"/>
        <v>12345.38</v>
      </c>
    </row>
    <row r="65" spans="1:6">
      <c r="A65">
        <v>62</v>
      </c>
      <c r="B65">
        <v>1000</v>
      </c>
      <c r="C65" t="s">
        <v>79</v>
      </c>
      <c r="D65">
        <f t="shared" si="2"/>
        <v>14444.09</v>
      </c>
      <c r="E65">
        <f t="shared" si="1"/>
        <v>14444.09</v>
      </c>
      <c r="F65">
        <f t="shared" si="0"/>
        <v>14444.09</v>
      </c>
    </row>
    <row r="66" spans="1:6">
      <c r="A66">
        <v>63</v>
      </c>
      <c r="B66">
        <v>1000</v>
      </c>
      <c r="C66" t="s">
        <v>80</v>
      </c>
      <c r="D66">
        <f t="shared" si="2"/>
        <v>16899.59</v>
      </c>
      <c r="E66">
        <f t="shared" si="1"/>
        <v>16899.59</v>
      </c>
      <c r="F66">
        <f t="shared" si="0"/>
        <v>16899.59</v>
      </c>
    </row>
    <row r="67" spans="1:6">
      <c r="A67">
        <v>64</v>
      </c>
      <c r="B67">
        <v>1000</v>
      </c>
      <c r="C67" t="s">
        <v>81</v>
      </c>
      <c r="D67">
        <f t="shared" si="2"/>
        <v>19772.52</v>
      </c>
      <c r="E67">
        <f t="shared" si="1"/>
        <v>19772.52</v>
      </c>
      <c r="F67">
        <f t="shared" si="0"/>
        <v>19772.52</v>
      </c>
    </row>
    <row r="68" spans="1:6">
      <c r="A68">
        <v>65</v>
      </c>
      <c r="B68">
        <v>1000</v>
      </c>
      <c r="C68" t="s">
        <v>82</v>
      </c>
      <c r="D68">
        <f t="shared" si="2"/>
        <v>23133.85</v>
      </c>
      <c r="E68">
        <f t="shared" si="1"/>
        <v>23133.85</v>
      </c>
      <c r="F68">
        <f t="shared" ref="F68:F73" si="3">E68</f>
        <v>23133.85</v>
      </c>
    </row>
    <row r="69" spans="1:6">
      <c r="A69">
        <v>66</v>
      </c>
      <c r="B69">
        <v>1000</v>
      </c>
      <c r="C69" t="s">
        <v>78</v>
      </c>
      <c r="D69">
        <f t="shared" si="2"/>
        <v>27066.6</v>
      </c>
      <c r="E69">
        <f t="shared" ref="E69:E73" si="4">D69</f>
        <v>27066.6</v>
      </c>
      <c r="F69">
        <f t="shared" si="3"/>
        <v>27066.6</v>
      </c>
    </row>
    <row r="70" spans="1:6">
      <c r="A70">
        <v>67</v>
      </c>
      <c r="B70">
        <v>1000</v>
      </c>
      <c r="C70" t="s">
        <v>83</v>
      </c>
      <c r="D70">
        <f t="shared" ref="D70:D73" si="5">ROUND(D69*1.17,2)</f>
        <v>31667.92</v>
      </c>
      <c r="E70">
        <f t="shared" si="4"/>
        <v>31667.92</v>
      </c>
      <c r="F70">
        <f t="shared" si="3"/>
        <v>31667.92</v>
      </c>
    </row>
    <row r="71" spans="1:6">
      <c r="A71">
        <v>68</v>
      </c>
      <c r="B71">
        <v>1000</v>
      </c>
      <c r="C71" t="s">
        <v>84</v>
      </c>
      <c r="D71">
        <f t="shared" si="5"/>
        <v>37051.47</v>
      </c>
      <c r="E71">
        <f t="shared" si="4"/>
        <v>37051.47</v>
      </c>
      <c r="F71">
        <f t="shared" si="3"/>
        <v>37051.47</v>
      </c>
    </row>
    <row r="72" spans="1:6">
      <c r="A72">
        <v>69</v>
      </c>
      <c r="B72">
        <v>1000</v>
      </c>
      <c r="C72" t="s">
        <v>85</v>
      </c>
      <c r="D72">
        <f t="shared" si="5"/>
        <v>43350.22</v>
      </c>
      <c r="E72">
        <f t="shared" si="4"/>
        <v>43350.22</v>
      </c>
      <c r="F72">
        <f t="shared" si="3"/>
        <v>43350.22</v>
      </c>
    </row>
    <row r="73" spans="1:6">
      <c r="A73">
        <v>70</v>
      </c>
      <c r="B73">
        <v>1000</v>
      </c>
      <c r="C73" t="s">
        <v>86</v>
      </c>
      <c r="D73">
        <f t="shared" si="5"/>
        <v>50719.76</v>
      </c>
      <c r="E73">
        <f t="shared" si="4"/>
        <v>50719.76</v>
      </c>
      <c r="F73">
        <f t="shared" si="3"/>
        <v>50719.76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总览</vt:lpstr>
      <vt:lpstr>level</vt:lpstr>
      <vt:lpstr>equipment</vt:lpstr>
      <vt:lpstr>mon</vt:lpstr>
      <vt:lpstr>monGroup</vt:lpstr>
      <vt:lpstr>res</vt:lpstr>
      <vt:lpstr>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pc</cp:lastModifiedBy>
  <dcterms:created xsi:type="dcterms:W3CDTF">2023-05-12T11:15:00Z</dcterms:created>
  <dcterms:modified xsi:type="dcterms:W3CDTF">2026-09-13T16:14:51Z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35AF855024934E809964C0D68E6AB203_12</vt:lpwstr>
  </property>
  <property fmtid="{D5CDD505-2E9C-101B-9397-08002B2CF9AE}" pid="4" name="CalculationRule">
    <vt:i4>0</vt:i4>
  </property>
</Properties>
</file>